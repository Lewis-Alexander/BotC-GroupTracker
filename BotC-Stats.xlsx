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BFECA47A-B869-4215-9812-723547B1E181}" xr6:coauthVersionLast="47" xr6:coauthVersionMax="47" xr10:uidLastSave="{00000000-0000-0000-0000-000000000000}"/>
  <bookViews>
    <workbookView xWindow="-1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T565" i="1" s="1"/>
  <c r="FN562" i="1"/>
  <c r="FM562" i="1"/>
  <c r="FQ561" i="1"/>
  <c r="FT561" i="1" s="1"/>
  <c r="FT564" i="1" s="1"/>
  <c r="FL561" i="1"/>
  <c r="FL562" i="1" s="1"/>
  <c r="FO562" i="1" s="1"/>
  <c r="FO565" i="1" s="1"/>
  <c r="FQ560" i="1"/>
  <c r="FT560" i="1" s="1"/>
  <c r="FT563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T553" i="1" s="1"/>
  <c r="FL550" i="1"/>
  <c r="FO550" i="1" s="1"/>
  <c r="FO553" i="1" s="1"/>
  <c r="FQ549" i="1"/>
  <c r="FT549" i="1" s="1"/>
  <c r="FT552" i="1" s="1"/>
  <c r="FL549" i="1"/>
  <c r="FO549" i="1" s="1"/>
  <c r="FO552" i="1" s="1"/>
  <c r="FQ548" i="1"/>
  <c r="FQ551" i="1" s="1"/>
  <c r="FT551" i="1" s="1"/>
  <c r="FT554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E564" i="1" s="1"/>
  <c r="FB561" i="1"/>
  <c r="FB562" i="1" s="1"/>
  <c r="FE562" i="1" s="1"/>
  <c r="FE565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FE563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FE553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FE552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BK560" i="1"/>
  <c r="BN560" i="1" s="1"/>
  <c r="BN563" i="1" s="1"/>
  <c r="BF560" i="1"/>
  <c r="BI560" i="1" s="1"/>
  <c r="BI563" i="1" s="1"/>
  <c r="BA560" i="1"/>
  <c r="BD560" i="1" s="1"/>
  <c r="BD563" i="1" s="1"/>
  <c r="AV560" i="1"/>
  <c r="AY560" i="1" s="1"/>
  <c r="AY563" i="1" s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S562" i="1"/>
  <c r="AR562" i="1"/>
  <c r="AN562" i="1"/>
  <c r="AM562" i="1"/>
  <c r="AI562" i="1"/>
  <c r="AH562" i="1"/>
  <c r="AG562" i="1"/>
  <c r="AJ562" i="1" s="1"/>
  <c r="AJ565" i="1" s="1"/>
  <c r="AD562" i="1"/>
  <c r="AC562" i="1"/>
  <c r="AQ561" i="1"/>
  <c r="AQ562" i="1" s="1"/>
  <c r="AT562" i="1" s="1"/>
  <c r="AT565" i="1" s="1"/>
  <c r="AO561" i="1"/>
  <c r="AO564" i="1" s="1"/>
  <c r="AL561" i="1"/>
  <c r="AL562" i="1" s="1"/>
  <c r="AO562" i="1" s="1"/>
  <c r="AO565" i="1" s="1"/>
  <c r="AG561" i="1"/>
  <c r="AJ561" i="1" s="1"/>
  <c r="AJ564" i="1" s="1"/>
  <c r="AB561" i="1"/>
  <c r="AB562" i="1" s="1"/>
  <c r="AE562" i="1" s="1"/>
  <c r="AE565" i="1" s="1"/>
  <c r="AQ560" i="1"/>
  <c r="AT560" i="1" s="1"/>
  <c r="AT563" i="1" s="1"/>
  <c r="AL560" i="1"/>
  <c r="AO560" i="1" s="1"/>
  <c r="AO563" i="1" s="1"/>
  <c r="AG560" i="1"/>
  <c r="AJ560" i="1" s="1"/>
  <c r="AJ563" i="1" s="1"/>
  <c r="AB560" i="1"/>
  <c r="AE560" i="1" s="1"/>
  <c r="AE563" i="1" s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T554" i="1" s="1"/>
  <c r="AN551" i="1"/>
  <c r="AM551" i="1"/>
  <c r="AI551" i="1"/>
  <c r="AH551" i="1"/>
  <c r="AD551" i="1"/>
  <c r="AC551" i="1"/>
  <c r="AB551" i="1"/>
  <c r="AE551" i="1" s="1"/>
  <c r="AE554" i="1" s="1"/>
  <c r="AQ550" i="1"/>
  <c r="AT550" i="1" s="1"/>
  <c r="AT553" i="1" s="1"/>
  <c r="AL550" i="1"/>
  <c r="AO550" i="1" s="1"/>
  <c r="AO553" i="1" s="1"/>
  <c r="AG550" i="1"/>
  <c r="AJ550" i="1" s="1"/>
  <c r="AJ553" i="1" s="1"/>
  <c r="AE550" i="1"/>
  <c r="AE553" i="1" s="1"/>
  <c r="AB550" i="1"/>
  <c r="AQ549" i="1"/>
  <c r="AT549" i="1" s="1"/>
  <c r="AT552" i="1" s="1"/>
  <c r="AL549" i="1"/>
  <c r="AO549" i="1" s="1"/>
  <c r="AO552" i="1" s="1"/>
  <c r="AG549" i="1"/>
  <c r="AJ549" i="1" s="1"/>
  <c r="AJ552" i="1" s="1"/>
  <c r="AB549" i="1"/>
  <c r="AE549" i="1" s="1"/>
  <c r="AE552" i="1" s="1"/>
  <c r="AQ548" i="1"/>
  <c r="AT548" i="1" s="1"/>
  <c r="AO548" i="1"/>
  <c r="AL548" i="1"/>
  <c r="AG548" i="1"/>
  <c r="AG551" i="1" s="1"/>
  <c r="AJ551" i="1" s="1"/>
  <c r="AJ554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Z565" i="1" s="1"/>
  <c r="W560" i="1"/>
  <c r="Z560" i="1" s="1"/>
  <c r="Z563" i="1" s="1"/>
  <c r="Z559" i="1"/>
  <c r="W559" i="1"/>
  <c r="Z558" i="1"/>
  <c r="W558" i="1"/>
  <c r="W557" i="1"/>
  <c r="Z557" i="1" s="1"/>
  <c r="Z552" i="1"/>
  <c r="Y551" i="1"/>
  <c r="X551" i="1"/>
  <c r="W551" i="1"/>
  <c r="Z551" i="1" s="1"/>
  <c r="Z554" i="1" s="1"/>
  <c r="W550" i="1"/>
  <c r="Z550" i="1" s="1"/>
  <c r="Z553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U565" i="1" s="1"/>
  <c r="R560" i="1"/>
  <c r="U560" i="1" s="1"/>
  <c r="U563" i="1" s="1"/>
  <c r="U559" i="1"/>
  <c r="R559" i="1"/>
  <c r="R558" i="1"/>
  <c r="U558" i="1" s="1"/>
  <c r="R557" i="1"/>
  <c r="U557" i="1" s="1"/>
  <c r="U553" i="1"/>
  <c r="U552" i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T532" i="1" s="1"/>
  <c r="FQ527" i="1"/>
  <c r="FT527" i="1" s="1"/>
  <c r="FT530" i="1" s="1"/>
  <c r="FT526" i="1"/>
  <c r="FQ526" i="1"/>
  <c r="FQ525" i="1"/>
  <c r="FT525" i="1" s="1"/>
  <c r="FQ524" i="1"/>
  <c r="FT524" i="1" s="1"/>
  <c r="FT520" i="1"/>
  <c r="FS518" i="1"/>
  <c r="FR518" i="1"/>
  <c r="FT517" i="1"/>
  <c r="FQ517" i="1"/>
  <c r="FQ516" i="1"/>
  <c r="FT516" i="1" s="1"/>
  <c r="FT519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FB540" i="1" s="1"/>
  <c r="FE540" i="1" s="1"/>
  <c r="FE543" i="1" s="1"/>
  <c r="EZ539" i="1"/>
  <c r="EZ542" i="1" s="1"/>
  <c r="EW539" i="1"/>
  <c r="ER539" i="1"/>
  <c r="EU539" i="1" s="1"/>
  <c r="EU542" i="1" s="1"/>
  <c r="FB538" i="1"/>
  <c r="FE538" i="1" s="1"/>
  <c r="FE541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FE531" i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E530" i="1" s="1"/>
  <c r="FB527" i="1"/>
  <c r="FB529" i="1" s="1"/>
  <c r="FE529" i="1" s="1"/>
  <c r="FE532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FE520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FE521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O541" i="1"/>
  <c r="AE541" i="1"/>
  <c r="AS540" i="1"/>
  <c r="AR540" i="1"/>
  <c r="AN540" i="1"/>
  <c r="AM540" i="1"/>
  <c r="AI540" i="1"/>
  <c r="AH540" i="1"/>
  <c r="AG540" i="1"/>
  <c r="AJ540" i="1" s="1"/>
  <c r="AJ543" i="1" s="1"/>
  <c r="AD540" i="1"/>
  <c r="AC540" i="1"/>
  <c r="AQ539" i="1"/>
  <c r="AQ540" i="1" s="1"/>
  <c r="AT540" i="1" s="1"/>
  <c r="AT543" i="1" s="1"/>
  <c r="AO539" i="1"/>
  <c r="AO542" i="1" s="1"/>
  <c r="AL539" i="1"/>
  <c r="AL540" i="1" s="1"/>
  <c r="AO540" i="1" s="1"/>
  <c r="AO543" i="1" s="1"/>
  <c r="AG539" i="1"/>
  <c r="AJ539" i="1" s="1"/>
  <c r="AJ542" i="1" s="1"/>
  <c r="AB539" i="1"/>
  <c r="AB540" i="1" s="1"/>
  <c r="AE540" i="1" s="1"/>
  <c r="AE543" i="1" s="1"/>
  <c r="AQ538" i="1"/>
  <c r="AT538" i="1" s="1"/>
  <c r="AT541" i="1" s="1"/>
  <c r="AO538" i="1"/>
  <c r="AL538" i="1"/>
  <c r="AG538" i="1"/>
  <c r="AJ538" i="1" s="1"/>
  <c r="AJ541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T532" i="1" s="1"/>
  <c r="AN529" i="1"/>
  <c r="AM529" i="1"/>
  <c r="AI529" i="1"/>
  <c r="AH529" i="1"/>
  <c r="AD529" i="1"/>
  <c r="AC529" i="1"/>
  <c r="AQ528" i="1"/>
  <c r="AT528" i="1" s="1"/>
  <c r="AT531" i="1" s="1"/>
  <c r="AO528" i="1"/>
  <c r="AO531" i="1" s="1"/>
  <c r="AL528" i="1"/>
  <c r="AL529" i="1" s="1"/>
  <c r="AO529" i="1" s="1"/>
  <c r="AO532" i="1" s="1"/>
  <c r="AG528" i="1"/>
  <c r="AJ528" i="1" s="1"/>
  <c r="AJ531" i="1" s="1"/>
  <c r="AE528" i="1"/>
  <c r="AE531" i="1" s="1"/>
  <c r="AB528" i="1"/>
  <c r="AQ527" i="1"/>
  <c r="AT527" i="1" s="1"/>
  <c r="AT530" i="1" s="1"/>
  <c r="AL527" i="1"/>
  <c r="AO527" i="1" s="1"/>
  <c r="AO530" i="1" s="1"/>
  <c r="AG527" i="1"/>
  <c r="AJ527" i="1" s="1"/>
  <c r="AJ530" i="1" s="1"/>
  <c r="AE527" i="1"/>
  <c r="AE530" i="1" s="1"/>
  <c r="AB527" i="1"/>
  <c r="AQ526" i="1"/>
  <c r="AT526" i="1" s="1"/>
  <c r="AO526" i="1"/>
  <c r="AL526" i="1"/>
  <c r="AG526" i="1"/>
  <c r="AG529" i="1" s="1"/>
  <c r="AJ529" i="1" s="1"/>
  <c r="AJ532" i="1" s="1"/>
  <c r="AB526" i="1"/>
  <c r="AB529" i="1" s="1"/>
  <c r="AE529" i="1" s="1"/>
  <c r="AE532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E520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T521" i="1" s="1"/>
  <c r="AL517" i="1"/>
  <c r="AO517" i="1" s="1"/>
  <c r="AO520" i="1" s="1"/>
  <c r="AG517" i="1"/>
  <c r="AJ517" i="1" s="1"/>
  <c r="AJ520" i="1" s="1"/>
  <c r="AE517" i="1"/>
  <c r="AB517" i="1"/>
  <c r="AQ516" i="1"/>
  <c r="AT516" i="1" s="1"/>
  <c r="AT519" i="1" s="1"/>
  <c r="AO516" i="1"/>
  <c r="AO519" i="1" s="1"/>
  <c r="AL516" i="1"/>
  <c r="AG516" i="1"/>
  <c r="AJ516" i="1" s="1"/>
  <c r="AJ519" i="1" s="1"/>
  <c r="AB516" i="1"/>
  <c r="AB518" i="1" s="1"/>
  <c r="AE518" i="1" s="1"/>
  <c r="AE521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Z539" i="1"/>
  <c r="Z542" i="1" s="1"/>
  <c r="W539" i="1"/>
  <c r="W540" i="1" s="1"/>
  <c r="Z540" i="1" s="1"/>
  <c r="Z543" i="1" s="1"/>
  <c r="W538" i="1"/>
  <c r="Z538" i="1" s="1"/>
  <c r="Z541" i="1" s="1"/>
  <c r="Z537" i="1"/>
  <c r="W537" i="1"/>
  <c r="W536" i="1"/>
  <c r="Z536" i="1" s="1"/>
  <c r="W535" i="1"/>
  <c r="Z535" i="1" s="1"/>
  <c r="Z531" i="1"/>
  <c r="Y529" i="1"/>
  <c r="X529" i="1"/>
  <c r="W529" i="1"/>
  <c r="Z529" i="1" s="1"/>
  <c r="Z532" i="1" s="1"/>
  <c r="Z528" i="1"/>
  <c r="W528" i="1"/>
  <c r="W527" i="1"/>
  <c r="Z527" i="1" s="1"/>
  <c r="Z530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21" i="1" s="1"/>
  <c r="Z516" i="1"/>
  <c r="Z519" i="1" s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U543" i="1" s="1"/>
  <c r="R538" i="1"/>
  <c r="U538" i="1" s="1"/>
  <c r="U541" i="1" s="1"/>
  <c r="U537" i="1"/>
  <c r="R537" i="1"/>
  <c r="R536" i="1"/>
  <c r="U536" i="1" s="1"/>
  <c r="R535" i="1"/>
  <c r="U535" i="1" s="1"/>
  <c r="U531" i="1"/>
  <c r="U530" i="1"/>
  <c r="T529" i="1"/>
  <c r="S529" i="1"/>
  <c r="R529" i="1"/>
  <c r="U529" i="1" s="1"/>
  <c r="U532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U520" i="1" s="1"/>
  <c r="R516" i="1"/>
  <c r="U516" i="1" s="1"/>
  <c r="U519" i="1" s="1"/>
  <c r="R515" i="1"/>
  <c r="R518" i="1" s="1"/>
  <c r="U518" i="1" s="1"/>
  <c r="U521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7" i="1"/>
  <c r="FT507" i="1" s="1"/>
  <c r="FT510" i="1" s="1"/>
  <c r="FQ506" i="1"/>
  <c r="FT506" i="1" s="1"/>
  <c r="FT509" i="1" s="1"/>
  <c r="FQ505" i="1"/>
  <c r="FT505" i="1" s="1"/>
  <c r="FT508" i="1" s="1"/>
  <c r="FT504" i="1"/>
  <c r="FQ504" i="1"/>
  <c r="FQ503" i="1"/>
  <c r="FT503" i="1" s="1"/>
  <c r="FQ502" i="1"/>
  <c r="FT502" i="1" s="1"/>
  <c r="FT498" i="1"/>
  <c r="FT497" i="1"/>
  <c r="FS496" i="1"/>
  <c r="FR496" i="1"/>
  <c r="FQ496" i="1"/>
  <c r="FT496" i="1" s="1"/>
  <c r="FT499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T487" i="1" s="1"/>
  <c r="FQ483" i="1"/>
  <c r="FT483" i="1" s="1"/>
  <c r="FT486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E499" i="1" s="1"/>
  <c r="FB494" i="1"/>
  <c r="FE494" i="1" s="1"/>
  <c r="FE497" i="1" s="1"/>
  <c r="FE493" i="1"/>
  <c r="FB493" i="1"/>
  <c r="FB492" i="1"/>
  <c r="FE492" i="1" s="1"/>
  <c r="FB491" i="1"/>
  <c r="FE491" i="1" s="1"/>
  <c r="FE487" i="1"/>
  <c r="FE485" i="1"/>
  <c r="FE488" i="1" s="1"/>
  <c r="FD485" i="1"/>
  <c r="FC485" i="1"/>
  <c r="FB485" i="1"/>
  <c r="FE484" i="1"/>
  <c r="FB484" i="1"/>
  <c r="FB483" i="1"/>
  <c r="FE483" i="1" s="1"/>
  <c r="FE486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O508" i="1"/>
  <c r="AJ508" i="1"/>
  <c r="AS507" i="1"/>
  <c r="AR507" i="1"/>
  <c r="AN507" i="1"/>
  <c r="AM507" i="1"/>
  <c r="AI507" i="1"/>
  <c r="AH507" i="1"/>
  <c r="AD507" i="1"/>
  <c r="AC507" i="1"/>
  <c r="AT506" i="1"/>
  <c r="AT509" i="1" s="1"/>
  <c r="AQ506" i="1"/>
  <c r="AQ507" i="1" s="1"/>
  <c r="AT507" i="1" s="1"/>
  <c r="AT510" i="1" s="1"/>
  <c r="AL506" i="1"/>
  <c r="AO506" i="1" s="1"/>
  <c r="AO509" i="1" s="1"/>
  <c r="AG506" i="1"/>
  <c r="AJ506" i="1" s="1"/>
  <c r="AJ509" i="1" s="1"/>
  <c r="AE506" i="1"/>
  <c r="AE509" i="1" s="1"/>
  <c r="AB506" i="1"/>
  <c r="AB507" i="1" s="1"/>
  <c r="AE507" i="1" s="1"/>
  <c r="AE510" i="1" s="1"/>
  <c r="AQ505" i="1"/>
  <c r="AT505" i="1" s="1"/>
  <c r="AT508" i="1" s="1"/>
  <c r="AO505" i="1"/>
  <c r="AL505" i="1"/>
  <c r="AJ505" i="1"/>
  <c r="AG505" i="1"/>
  <c r="AB505" i="1"/>
  <c r="AE505" i="1" s="1"/>
  <c r="AE508" i="1" s="1"/>
  <c r="AQ504" i="1"/>
  <c r="AT504" i="1" s="1"/>
  <c r="AO504" i="1"/>
  <c r="AL504" i="1"/>
  <c r="AL507" i="1" s="1"/>
  <c r="AO507" i="1" s="1"/>
  <c r="AO510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E497" i="1"/>
  <c r="AS496" i="1"/>
  <c r="AR496" i="1"/>
  <c r="AN496" i="1"/>
  <c r="AM496" i="1"/>
  <c r="AI496" i="1"/>
  <c r="AH496" i="1"/>
  <c r="AD496" i="1"/>
  <c r="AC496" i="1"/>
  <c r="AQ495" i="1"/>
  <c r="AT495" i="1" s="1"/>
  <c r="AT498" i="1" s="1"/>
  <c r="AL495" i="1"/>
  <c r="AL496" i="1" s="1"/>
  <c r="AO496" i="1" s="1"/>
  <c r="AO499" i="1" s="1"/>
  <c r="AG495" i="1"/>
  <c r="AJ495" i="1" s="1"/>
  <c r="AJ498" i="1" s="1"/>
  <c r="AB495" i="1"/>
  <c r="AE495" i="1" s="1"/>
  <c r="AE498" i="1" s="1"/>
  <c r="AQ494" i="1"/>
  <c r="AT494" i="1" s="1"/>
  <c r="AT497" i="1" s="1"/>
  <c r="AO494" i="1"/>
  <c r="AO497" i="1" s="1"/>
  <c r="AL494" i="1"/>
  <c r="AG494" i="1"/>
  <c r="AJ494" i="1" s="1"/>
  <c r="AJ497" i="1" s="1"/>
  <c r="AE494" i="1"/>
  <c r="AB494" i="1"/>
  <c r="AT493" i="1"/>
  <c r="AQ493" i="1"/>
  <c r="AL493" i="1"/>
  <c r="AO493" i="1" s="1"/>
  <c r="AG493" i="1"/>
  <c r="AG496" i="1" s="1"/>
  <c r="AJ496" i="1" s="1"/>
  <c r="AJ499" i="1" s="1"/>
  <c r="AE493" i="1"/>
  <c r="AB493" i="1"/>
  <c r="AB496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T488" i="1" s="1"/>
  <c r="AL484" i="1"/>
  <c r="AL485" i="1" s="1"/>
  <c r="AG484" i="1"/>
  <c r="AJ484" i="1" s="1"/>
  <c r="AJ487" i="1" s="1"/>
  <c r="AB484" i="1"/>
  <c r="AE484" i="1" s="1"/>
  <c r="AE487" i="1" s="1"/>
  <c r="AT483" i="1"/>
  <c r="AT486" i="1" s="1"/>
  <c r="AQ483" i="1"/>
  <c r="AL483" i="1"/>
  <c r="AO483" i="1" s="1"/>
  <c r="AO486" i="1" s="1"/>
  <c r="AG483" i="1"/>
  <c r="AJ483" i="1" s="1"/>
  <c r="AJ486" i="1" s="1"/>
  <c r="AB483" i="1"/>
  <c r="AE483" i="1" s="1"/>
  <c r="AE486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Z510" i="1" s="1"/>
  <c r="W505" i="1"/>
  <c r="Z505" i="1" s="1"/>
  <c r="Z508" i="1" s="1"/>
  <c r="Z504" i="1"/>
  <c r="W504" i="1"/>
  <c r="W503" i="1"/>
  <c r="Z503" i="1" s="1"/>
  <c r="W502" i="1"/>
  <c r="Z502" i="1" s="1"/>
  <c r="Z497" i="1"/>
  <c r="Y496" i="1"/>
  <c r="X496" i="1"/>
  <c r="W495" i="1"/>
  <c r="W496" i="1" s="1"/>
  <c r="Z496" i="1" s="1"/>
  <c r="Z499" i="1" s="1"/>
  <c r="Z494" i="1"/>
  <c r="W494" i="1"/>
  <c r="Z493" i="1"/>
  <c r="W493" i="1"/>
  <c r="W492" i="1"/>
  <c r="Z492" i="1" s="1"/>
  <c r="W491" i="1"/>
  <c r="Z491" i="1" s="1"/>
  <c r="Y485" i="1"/>
  <c r="X485" i="1"/>
  <c r="W484" i="1"/>
  <c r="W483" i="1"/>
  <c r="Z483" i="1" s="1"/>
  <c r="Z486" i="1" s="1"/>
  <c r="W482" i="1"/>
  <c r="Z482" i="1" s="1"/>
  <c r="Z481" i="1"/>
  <c r="W481" i="1"/>
  <c r="W480" i="1"/>
  <c r="Z480" i="1" s="1"/>
  <c r="T507" i="1"/>
  <c r="S507" i="1"/>
  <c r="R506" i="1"/>
  <c r="U506" i="1" s="1"/>
  <c r="U509" i="1" s="1"/>
  <c r="R505" i="1"/>
  <c r="R507" i="1" s="1"/>
  <c r="U507" i="1" s="1"/>
  <c r="U510" i="1" s="1"/>
  <c r="U504" i="1"/>
  <c r="R504" i="1"/>
  <c r="R503" i="1"/>
  <c r="U503" i="1" s="1"/>
  <c r="R502" i="1"/>
  <c r="U502" i="1" s="1"/>
  <c r="U497" i="1"/>
  <c r="T496" i="1"/>
  <c r="S496" i="1"/>
  <c r="R495" i="1"/>
  <c r="R496" i="1" s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U488" i="1" s="1"/>
  <c r="R483" i="1"/>
  <c r="U483" i="1" s="1"/>
  <c r="U486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K499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T477" i="1" s="1"/>
  <c r="FQ472" i="1"/>
  <c r="FT472" i="1" s="1"/>
  <c r="FT475" i="1" s="1"/>
  <c r="FT471" i="1"/>
  <c r="FQ471" i="1"/>
  <c r="FQ470" i="1"/>
  <c r="FT470" i="1" s="1"/>
  <c r="FQ469" i="1"/>
  <c r="FT469" i="1" s="1"/>
  <c r="FT465" i="1"/>
  <c r="FT464" i="1"/>
  <c r="FS463" i="1"/>
  <c r="FR463" i="1"/>
  <c r="FQ463" i="1"/>
  <c r="FT463" i="1" s="1"/>
  <c r="FT466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5" i="1" s="1"/>
  <c r="FT450" i="1"/>
  <c r="FT453" i="1" s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E476" i="1" s="1"/>
  <c r="FB472" i="1"/>
  <c r="FB474" i="1" s="1"/>
  <c r="FE474" i="1" s="1"/>
  <c r="FE477" i="1" s="1"/>
  <c r="FE471" i="1"/>
  <c r="FB471" i="1"/>
  <c r="FB470" i="1"/>
  <c r="FE470" i="1" s="1"/>
  <c r="FB469" i="1"/>
  <c r="FE469" i="1" s="1"/>
  <c r="FE465" i="1"/>
  <c r="FD463" i="1"/>
  <c r="FC463" i="1"/>
  <c r="FB463" i="1"/>
  <c r="FE463" i="1" s="1"/>
  <c r="FE466" i="1" s="1"/>
  <c r="FE462" i="1"/>
  <c r="FB462" i="1"/>
  <c r="FE461" i="1"/>
  <c r="FE464" i="1" s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E455" i="1" s="1"/>
  <c r="FB450" i="1"/>
  <c r="FE450" i="1" s="1"/>
  <c r="FE453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E475" i="1"/>
  <c r="AS474" i="1"/>
  <c r="AR474" i="1"/>
  <c r="AN474" i="1"/>
  <c r="AM474" i="1"/>
  <c r="AI474" i="1"/>
  <c r="AH474" i="1"/>
  <c r="AG474" i="1"/>
  <c r="AJ474" i="1" s="1"/>
  <c r="AJ477" i="1" s="1"/>
  <c r="AD474" i="1"/>
  <c r="AC474" i="1"/>
  <c r="AQ473" i="1"/>
  <c r="AT473" i="1" s="1"/>
  <c r="AT476" i="1" s="1"/>
  <c r="AO473" i="1"/>
  <c r="AO476" i="1" s="1"/>
  <c r="AL473" i="1"/>
  <c r="AL474" i="1" s="1"/>
  <c r="AO474" i="1" s="1"/>
  <c r="AO477" i="1" s="1"/>
  <c r="AG473" i="1"/>
  <c r="AJ473" i="1" s="1"/>
  <c r="AJ476" i="1" s="1"/>
  <c r="AB473" i="1"/>
  <c r="AB474" i="1" s="1"/>
  <c r="AE474" i="1" s="1"/>
  <c r="AE477" i="1" s="1"/>
  <c r="AQ472" i="1"/>
  <c r="AT472" i="1" s="1"/>
  <c r="AT475" i="1" s="1"/>
  <c r="AL472" i="1"/>
  <c r="AO472" i="1" s="1"/>
  <c r="AO475" i="1" s="1"/>
  <c r="AG472" i="1"/>
  <c r="AJ472" i="1" s="1"/>
  <c r="AJ475" i="1" s="1"/>
  <c r="AE472" i="1"/>
  <c r="AB472" i="1"/>
  <c r="AQ471" i="1"/>
  <c r="AQ474" i="1" s="1"/>
  <c r="AT474" i="1" s="1"/>
  <c r="AT477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T466" i="1" s="1"/>
  <c r="AN463" i="1"/>
  <c r="AM463" i="1"/>
  <c r="AI463" i="1"/>
  <c r="AH463" i="1"/>
  <c r="AD463" i="1"/>
  <c r="AC463" i="1"/>
  <c r="AB463" i="1"/>
  <c r="AE463" i="1" s="1"/>
  <c r="AE466" i="1" s="1"/>
  <c r="AQ462" i="1"/>
  <c r="AT462" i="1" s="1"/>
  <c r="AT465" i="1" s="1"/>
  <c r="AL462" i="1"/>
  <c r="AO462" i="1" s="1"/>
  <c r="AO465" i="1" s="1"/>
  <c r="AG462" i="1"/>
  <c r="AJ462" i="1" s="1"/>
  <c r="AJ465" i="1" s="1"/>
  <c r="AE462" i="1"/>
  <c r="AE465" i="1" s="1"/>
  <c r="AB462" i="1"/>
  <c r="AQ461" i="1"/>
  <c r="AT461" i="1" s="1"/>
  <c r="AT464" i="1" s="1"/>
  <c r="AL461" i="1"/>
  <c r="AO461" i="1" s="1"/>
  <c r="AO464" i="1" s="1"/>
  <c r="AG461" i="1"/>
  <c r="AJ461" i="1" s="1"/>
  <c r="AJ464" i="1" s="1"/>
  <c r="AB461" i="1"/>
  <c r="AE461" i="1" s="1"/>
  <c r="AE464" i="1" s="1"/>
  <c r="AQ460" i="1"/>
  <c r="AT460" i="1" s="1"/>
  <c r="AO460" i="1"/>
  <c r="AL460" i="1"/>
  <c r="AG460" i="1"/>
  <c r="AG463" i="1" s="1"/>
  <c r="AJ463" i="1" s="1"/>
  <c r="AJ466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L451" i="1"/>
  <c r="AG451" i="1"/>
  <c r="AJ451" i="1" s="1"/>
  <c r="AJ454" i="1" s="1"/>
  <c r="AB451" i="1"/>
  <c r="AE451" i="1" s="1"/>
  <c r="AE454" i="1" s="1"/>
  <c r="AQ450" i="1"/>
  <c r="AT450" i="1" s="1"/>
  <c r="AT453" i="1" s="1"/>
  <c r="AL450" i="1"/>
  <c r="AO450" i="1" s="1"/>
  <c r="AO453" i="1" s="1"/>
  <c r="AG450" i="1"/>
  <c r="AB450" i="1"/>
  <c r="AE450" i="1" s="1"/>
  <c r="AE453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Z477" i="1" s="1"/>
  <c r="W472" i="1"/>
  <c r="Z472" i="1" s="1"/>
  <c r="Z475" i="1" s="1"/>
  <c r="Z471" i="1"/>
  <c r="W471" i="1"/>
  <c r="W470" i="1"/>
  <c r="Z470" i="1" s="1"/>
  <c r="Z469" i="1"/>
  <c r="W469" i="1"/>
  <c r="Z465" i="1"/>
  <c r="Y463" i="1"/>
  <c r="X463" i="1"/>
  <c r="W463" i="1"/>
  <c r="Z463" i="1" s="1"/>
  <c r="Z466" i="1" s="1"/>
  <c r="Z462" i="1"/>
  <c r="W462" i="1"/>
  <c r="W461" i="1"/>
  <c r="Z461" i="1" s="1"/>
  <c r="Z464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Z455" i="1" s="1"/>
  <c r="W450" i="1"/>
  <c r="Z450" i="1" s="1"/>
  <c r="Z453" i="1" s="1"/>
  <c r="W449" i="1"/>
  <c r="Z449" i="1" s="1"/>
  <c r="Z448" i="1"/>
  <c r="W448" i="1"/>
  <c r="W447" i="1"/>
  <c r="Z447" i="1" s="1"/>
  <c r="T474" i="1"/>
  <c r="S474" i="1"/>
  <c r="R474" i="1"/>
  <c r="U474" i="1" s="1"/>
  <c r="U477" i="1" s="1"/>
  <c r="R473" i="1"/>
  <c r="U473" i="1" s="1"/>
  <c r="U476" i="1" s="1"/>
  <c r="R472" i="1"/>
  <c r="U472" i="1" s="1"/>
  <c r="U475" i="1" s="1"/>
  <c r="U471" i="1"/>
  <c r="R471" i="1"/>
  <c r="R470" i="1"/>
  <c r="U470" i="1" s="1"/>
  <c r="R469" i="1"/>
  <c r="U469" i="1" s="1"/>
  <c r="U465" i="1"/>
  <c r="U464" i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U454" i="1" s="1"/>
  <c r="R450" i="1"/>
  <c r="U450" i="1" s="1"/>
  <c r="U453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O452" i="1"/>
  <c r="N452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FT443" i="1" s="1"/>
  <c r="GD439" i="1"/>
  <c r="GD442" i="1" s="1"/>
  <c r="GA439" i="1"/>
  <c r="FV439" i="1"/>
  <c r="FV441" i="1" s="1"/>
  <c r="FY441" i="1" s="1"/>
  <c r="FY444" i="1" s="1"/>
  <c r="FQ439" i="1"/>
  <c r="FT439" i="1" s="1"/>
  <c r="FT442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FT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FT433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FE444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FE443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FE442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FE432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FE431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FE433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T444" i="1" s="1"/>
  <c r="AL440" i="1"/>
  <c r="AO440" i="1" s="1"/>
  <c r="AO443" i="1" s="1"/>
  <c r="AG440" i="1"/>
  <c r="AJ440" i="1" s="1"/>
  <c r="AJ443" i="1" s="1"/>
  <c r="AE440" i="1"/>
  <c r="AE443" i="1" s="1"/>
  <c r="AB440" i="1"/>
  <c r="AB441" i="1" s="1"/>
  <c r="AE441" i="1" s="1"/>
  <c r="AE444" i="1" s="1"/>
  <c r="AQ439" i="1"/>
  <c r="AT439" i="1" s="1"/>
  <c r="AT442" i="1" s="1"/>
  <c r="AL439" i="1"/>
  <c r="AO439" i="1" s="1"/>
  <c r="AO442" i="1" s="1"/>
  <c r="AG439" i="1"/>
  <c r="AJ439" i="1" s="1"/>
  <c r="AJ442" i="1" s="1"/>
  <c r="AB439" i="1"/>
  <c r="AE439" i="1" s="1"/>
  <c r="AE442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T432" i="1" s="1"/>
  <c r="AL429" i="1"/>
  <c r="AO429" i="1" s="1"/>
  <c r="AO432" i="1" s="1"/>
  <c r="AG429" i="1"/>
  <c r="AJ429" i="1" s="1"/>
  <c r="AJ432" i="1" s="1"/>
  <c r="AB429" i="1"/>
  <c r="AE429" i="1" s="1"/>
  <c r="AE432" i="1" s="1"/>
  <c r="AQ428" i="1"/>
  <c r="AT428" i="1" s="1"/>
  <c r="AT431" i="1" s="1"/>
  <c r="AO428" i="1"/>
  <c r="AO431" i="1" s="1"/>
  <c r="AL428" i="1"/>
  <c r="AG428" i="1"/>
  <c r="AJ428" i="1" s="1"/>
  <c r="AJ431" i="1" s="1"/>
  <c r="AB428" i="1"/>
  <c r="AE428" i="1" s="1"/>
  <c r="AE431" i="1" s="1"/>
  <c r="AQ427" i="1"/>
  <c r="AT427" i="1" s="1"/>
  <c r="AL427" i="1"/>
  <c r="AO427" i="1" s="1"/>
  <c r="AG427" i="1"/>
  <c r="AG430" i="1" s="1"/>
  <c r="AJ430" i="1" s="1"/>
  <c r="AJ433" i="1" s="1"/>
  <c r="AE427" i="1"/>
  <c r="AB427" i="1"/>
  <c r="AB430" i="1" s="1"/>
  <c r="AE430" i="1" s="1"/>
  <c r="AE433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Z444" i="1" s="1"/>
  <c r="W440" i="1"/>
  <c r="Z440" i="1" s="1"/>
  <c r="Z443" i="1" s="1"/>
  <c r="W439" i="1"/>
  <c r="Z439" i="1" s="1"/>
  <c r="Z442" i="1" s="1"/>
  <c r="Z438" i="1"/>
  <c r="W438" i="1"/>
  <c r="W437" i="1"/>
  <c r="Z437" i="1" s="1"/>
  <c r="W436" i="1"/>
  <c r="Z436" i="1" s="1"/>
  <c r="Z432" i="1"/>
  <c r="Z431" i="1"/>
  <c r="Y430" i="1"/>
  <c r="X430" i="1"/>
  <c r="W430" i="1"/>
  <c r="Z430" i="1" s="1"/>
  <c r="Z433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U444" i="1" s="1"/>
  <c r="R439" i="1"/>
  <c r="U439" i="1" s="1"/>
  <c r="U442" i="1" s="1"/>
  <c r="U438" i="1"/>
  <c r="R438" i="1"/>
  <c r="R437" i="1"/>
  <c r="U437" i="1" s="1"/>
  <c r="R436" i="1"/>
  <c r="U436" i="1" s="1"/>
  <c r="U431" i="1"/>
  <c r="T430" i="1"/>
  <c r="S430" i="1"/>
  <c r="R430" i="1"/>
  <c r="U430" i="1" s="1"/>
  <c r="U433" i="1" s="1"/>
  <c r="R429" i="1"/>
  <c r="U429" i="1" s="1"/>
  <c r="U432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T421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T420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O419" i="1"/>
  <c r="EN419" i="1"/>
  <c r="FB418" i="1"/>
  <c r="FB419" i="1" s="1"/>
  <c r="FE419" i="1" s="1"/>
  <c r="FE422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FE420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D419" i="1"/>
  <c r="AC419" i="1"/>
  <c r="AQ418" i="1"/>
  <c r="AQ419" i="1" s="1"/>
  <c r="AT419" i="1" s="1"/>
  <c r="AT422" i="1" s="1"/>
  <c r="AL418" i="1"/>
  <c r="AO418" i="1" s="1"/>
  <c r="AO421" i="1" s="1"/>
  <c r="AG418" i="1"/>
  <c r="AJ418" i="1" s="1"/>
  <c r="AJ421" i="1" s="1"/>
  <c r="AB418" i="1"/>
  <c r="AB419" i="1" s="1"/>
  <c r="AE419" i="1" s="1"/>
  <c r="AE422" i="1" s="1"/>
  <c r="AQ417" i="1"/>
  <c r="AT417" i="1" s="1"/>
  <c r="AT420" i="1" s="1"/>
  <c r="AL417" i="1"/>
  <c r="AO417" i="1" s="1"/>
  <c r="AO420" i="1" s="1"/>
  <c r="AG417" i="1"/>
  <c r="AJ417" i="1" s="1"/>
  <c r="AJ420" i="1" s="1"/>
  <c r="AB417" i="1"/>
  <c r="AE417" i="1" s="1"/>
  <c r="AE420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Z422" i="1" s="1"/>
  <c r="W417" i="1"/>
  <c r="Z417" i="1" s="1"/>
  <c r="Z420" i="1" s="1"/>
  <c r="Z416" i="1"/>
  <c r="W416" i="1"/>
  <c r="W415" i="1"/>
  <c r="Z415" i="1" s="1"/>
  <c r="W414" i="1"/>
  <c r="Z414" i="1" s="1"/>
  <c r="T419" i="1"/>
  <c r="S419" i="1"/>
  <c r="R418" i="1"/>
  <c r="R417" i="1"/>
  <c r="U417" i="1" s="1"/>
  <c r="U420" i="1" s="1"/>
  <c r="U416" i="1"/>
  <c r="R416" i="1"/>
  <c r="R415" i="1"/>
  <c r="U415" i="1" s="1"/>
  <c r="U414" i="1"/>
  <c r="R414" i="1"/>
  <c r="O419" i="1"/>
  <c r="N419" i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T411" i="1" s="1"/>
  <c r="FL407" i="1"/>
  <c r="FO407" i="1" s="1"/>
  <c r="FO410" i="1" s="1"/>
  <c r="FG407" i="1"/>
  <c r="FJ407" i="1" s="1"/>
  <c r="FJ410" i="1" s="1"/>
  <c r="FB407" i="1"/>
  <c r="FB408" i="1" s="1"/>
  <c r="FE408" i="1" s="1"/>
  <c r="FE411" i="1" s="1"/>
  <c r="FQ406" i="1"/>
  <c r="FT406" i="1" s="1"/>
  <c r="FT409" i="1" s="1"/>
  <c r="FL406" i="1"/>
  <c r="FO406" i="1" s="1"/>
  <c r="FO409" i="1" s="1"/>
  <c r="FG406" i="1"/>
  <c r="FJ406" i="1" s="1"/>
  <c r="FJ409" i="1" s="1"/>
  <c r="FB406" i="1"/>
  <c r="FE406" i="1" s="1"/>
  <c r="FE409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J411" i="1" s="1"/>
  <c r="AD408" i="1"/>
  <c r="AC408" i="1"/>
  <c r="AQ407" i="1"/>
  <c r="AQ408" i="1" s="1"/>
  <c r="AT408" i="1" s="1"/>
  <c r="AT411" i="1" s="1"/>
  <c r="AL407" i="1"/>
  <c r="AO407" i="1" s="1"/>
  <c r="AO410" i="1" s="1"/>
  <c r="AJ407" i="1"/>
  <c r="AJ410" i="1" s="1"/>
  <c r="AG407" i="1"/>
  <c r="AB407" i="1"/>
  <c r="AB408" i="1" s="1"/>
  <c r="AE408" i="1" s="1"/>
  <c r="AE411" i="1" s="1"/>
  <c r="AQ406" i="1"/>
  <c r="AT406" i="1" s="1"/>
  <c r="AT409" i="1" s="1"/>
  <c r="AL406" i="1"/>
  <c r="AO406" i="1" s="1"/>
  <c r="AO409" i="1" s="1"/>
  <c r="AG406" i="1"/>
  <c r="AJ406" i="1" s="1"/>
  <c r="AJ409" i="1" s="1"/>
  <c r="AB406" i="1"/>
  <c r="AE406" i="1" s="1"/>
  <c r="AE409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Z411" i="1" s="1"/>
  <c r="W406" i="1"/>
  <c r="Z406" i="1" s="1"/>
  <c r="Z409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U411" i="1" s="1"/>
  <c r="R406" i="1"/>
  <c r="U406" i="1" s="1"/>
  <c r="U409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J408" i="1"/>
  <c r="I408" i="1"/>
  <c r="H407" i="1"/>
  <c r="K407" i="1" s="1"/>
  <c r="K410" i="1" s="1"/>
  <c r="H406" i="1"/>
  <c r="K406" i="1" s="1"/>
  <c r="K409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FT399" i="1" s="1"/>
  <c r="GD395" i="1"/>
  <c r="GD398" i="1" s="1"/>
  <c r="GA395" i="1"/>
  <c r="FY395" i="1"/>
  <c r="FY398" i="1" s="1"/>
  <c r="FV395" i="1"/>
  <c r="FT395" i="1"/>
  <c r="FT398" i="1" s="1"/>
  <c r="FQ395" i="1"/>
  <c r="FQ397" i="1" s="1"/>
  <c r="FT397" i="1" s="1"/>
  <c r="FT400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FE400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E399" i="1" s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FE398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T400" i="1" s="1"/>
  <c r="AL396" i="1"/>
  <c r="AO396" i="1" s="1"/>
  <c r="AO399" i="1" s="1"/>
  <c r="AJ396" i="1"/>
  <c r="AJ399" i="1" s="1"/>
  <c r="AG396" i="1"/>
  <c r="AG397" i="1" s="1"/>
  <c r="AJ397" i="1" s="1"/>
  <c r="AJ400" i="1" s="1"/>
  <c r="AE396" i="1"/>
  <c r="AE399" i="1" s="1"/>
  <c r="AB396" i="1"/>
  <c r="AB397" i="1" s="1"/>
  <c r="AE397" i="1" s="1"/>
  <c r="AE400" i="1" s="1"/>
  <c r="AQ395" i="1"/>
  <c r="AT395" i="1" s="1"/>
  <c r="AT398" i="1" s="1"/>
  <c r="AL395" i="1"/>
  <c r="AO395" i="1" s="1"/>
  <c r="AO398" i="1" s="1"/>
  <c r="AG395" i="1"/>
  <c r="AJ395" i="1" s="1"/>
  <c r="AJ398" i="1" s="1"/>
  <c r="AB395" i="1"/>
  <c r="AE395" i="1" s="1"/>
  <c r="AE398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Z400" i="1" s="1"/>
  <c r="W395" i="1"/>
  <c r="Z395" i="1" s="1"/>
  <c r="Z398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U400" i="1" s="1"/>
  <c r="R395" i="1"/>
  <c r="U395" i="1" s="1"/>
  <c r="U398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T389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T388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T387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FE388" i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FE389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FE387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J389" i="1" s="1"/>
  <c r="AD386" i="1"/>
  <c r="AC386" i="1"/>
  <c r="AQ385" i="1"/>
  <c r="AQ386" i="1" s="1"/>
  <c r="AT386" i="1" s="1"/>
  <c r="AT389" i="1" s="1"/>
  <c r="AL385" i="1"/>
  <c r="AO385" i="1" s="1"/>
  <c r="AO388" i="1" s="1"/>
  <c r="AG385" i="1"/>
  <c r="AJ385" i="1" s="1"/>
  <c r="AJ388" i="1" s="1"/>
  <c r="AB385" i="1"/>
  <c r="AB386" i="1" s="1"/>
  <c r="AE386" i="1" s="1"/>
  <c r="AE389" i="1" s="1"/>
  <c r="AQ384" i="1"/>
  <c r="AT384" i="1" s="1"/>
  <c r="AT387" i="1" s="1"/>
  <c r="AL384" i="1"/>
  <c r="AO384" i="1" s="1"/>
  <c r="AO387" i="1" s="1"/>
  <c r="AG384" i="1"/>
  <c r="AJ384" i="1" s="1"/>
  <c r="AJ387" i="1" s="1"/>
  <c r="AB384" i="1"/>
  <c r="AE384" i="1" s="1"/>
  <c r="AE387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Z389" i="1" s="1"/>
  <c r="W384" i="1"/>
  <c r="Z384" i="1" s="1"/>
  <c r="Z387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U389" i="1" s="1"/>
  <c r="R384" i="1"/>
  <c r="U384" i="1" s="1"/>
  <c r="U387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T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T377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T378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E377" i="1" s="1"/>
  <c r="FB374" i="1"/>
  <c r="FB375" i="1" s="1"/>
  <c r="FE375" i="1" s="1"/>
  <c r="FE378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FE376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J377" i="1"/>
  <c r="AS375" i="1"/>
  <c r="AR375" i="1"/>
  <c r="AN375" i="1"/>
  <c r="AM375" i="1"/>
  <c r="AJ375" i="1"/>
  <c r="AJ378" i="1" s="1"/>
  <c r="AI375" i="1"/>
  <c r="AH375" i="1"/>
  <c r="AG375" i="1"/>
  <c r="AD375" i="1"/>
  <c r="AC375" i="1"/>
  <c r="AQ374" i="1"/>
  <c r="AQ375" i="1" s="1"/>
  <c r="AT375" i="1" s="1"/>
  <c r="AT378" i="1" s="1"/>
  <c r="AO374" i="1"/>
  <c r="AO377" i="1" s="1"/>
  <c r="AL374" i="1"/>
  <c r="AL375" i="1" s="1"/>
  <c r="AO375" i="1" s="1"/>
  <c r="AO378" i="1" s="1"/>
  <c r="AJ374" i="1"/>
  <c r="AG374" i="1"/>
  <c r="AB374" i="1"/>
  <c r="AB375" i="1" s="1"/>
  <c r="AE375" i="1" s="1"/>
  <c r="AE378" i="1" s="1"/>
  <c r="AQ373" i="1"/>
  <c r="AT373" i="1" s="1"/>
  <c r="AT376" i="1" s="1"/>
  <c r="AL373" i="1"/>
  <c r="AO373" i="1" s="1"/>
  <c r="AO376" i="1" s="1"/>
  <c r="AG373" i="1"/>
  <c r="AJ373" i="1" s="1"/>
  <c r="AJ376" i="1" s="1"/>
  <c r="AE373" i="1"/>
  <c r="AE376" i="1" s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Z378" i="1" s="1"/>
  <c r="W374" i="1"/>
  <c r="Z374" i="1" s="1"/>
  <c r="Z377" i="1" s="1"/>
  <c r="W373" i="1"/>
  <c r="Z373" i="1" s="1"/>
  <c r="Z376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U378" i="1" s="1"/>
  <c r="R373" i="1"/>
  <c r="U373" i="1" s="1"/>
  <c r="U376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E365" i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T367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E366" i="1" s="1"/>
  <c r="FB363" i="1"/>
  <c r="FB364" i="1" s="1"/>
  <c r="FE364" i="1" s="1"/>
  <c r="FE367" i="1" s="1"/>
  <c r="FQ362" i="1"/>
  <c r="FT362" i="1" s="1"/>
  <c r="FT365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O365" i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T367" i="1" s="1"/>
  <c r="AO363" i="1"/>
  <c r="AO366" i="1" s="1"/>
  <c r="AL363" i="1"/>
  <c r="AL364" i="1" s="1"/>
  <c r="AO364" i="1" s="1"/>
  <c r="AO367" i="1" s="1"/>
  <c r="AG363" i="1"/>
  <c r="AJ363" i="1" s="1"/>
  <c r="AJ366" i="1" s="1"/>
  <c r="AE363" i="1"/>
  <c r="AE366" i="1" s="1"/>
  <c r="AB363" i="1"/>
  <c r="AB364" i="1" s="1"/>
  <c r="AE364" i="1" s="1"/>
  <c r="AE367" i="1" s="1"/>
  <c r="AQ362" i="1"/>
  <c r="AT362" i="1" s="1"/>
  <c r="AT365" i="1" s="1"/>
  <c r="AO362" i="1"/>
  <c r="AL362" i="1"/>
  <c r="AG362" i="1"/>
  <c r="AJ362" i="1" s="1"/>
  <c r="AJ365" i="1" s="1"/>
  <c r="AE362" i="1"/>
  <c r="AE365" i="1" s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Z367" i="1" s="1"/>
  <c r="W362" i="1"/>
  <c r="Z362" i="1" s="1"/>
  <c r="Z365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U367" i="1" s="1"/>
  <c r="R362" i="1"/>
  <c r="U362" i="1" s="1"/>
  <c r="U365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FT355" i="1" s="1"/>
  <c r="GA351" i="1"/>
  <c r="GD351" i="1" s="1"/>
  <c r="GD354" i="1" s="1"/>
  <c r="FV351" i="1"/>
  <c r="FV353" i="1" s="1"/>
  <c r="FY353" i="1" s="1"/>
  <c r="FY356" i="1" s="1"/>
  <c r="FQ351" i="1"/>
  <c r="FT351" i="1" s="1"/>
  <c r="FT354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FE356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FE355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FE354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E354" i="1"/>
  <c r="AS353" i="1"/>
  <c r="AR353" i="1"/>
  <c r="AN353" i="1"/>
  <c r="AM353" i="1"/>
  <c r="AI353" i="1"/>
  <c r="AH353" i="1"/>
  <c r="AG353" i="1"/>
  <c r="AJ353" i="1" s="1"/>
  <c r="AJ356" i="1" s="1"/>
  <c r="AD353" i="1"/>
  <c r="AC353" i="1"/>
  <c r="AQ352" i="1"/>
  <c r="AQ353" i="1" s="1"/>
  <c r="AT353" i="1" s="1"/>
  <c r="AT356" i="1" s="1"/>
  <c r="AO352" i="1"/>
  <c r="AO355" i="1" s="1"/>
  <c r="AL352" i="1"/>
  <c r="AL353" i="1" s="1"/>
  <c r="AO353" i="1" s="1"/>
  <c r="AO356" i="1" s="1"/>
  <c r="AJ352" i="1"/>
  <c r="AJ355" i="1" s="1"/>
  <c r="AG352" i="1"/>
  <c r="AB352" i="1"/>
  <c r="AB353" i="1" s="1"/>
  <c r="AE353" i="1" s="1"/>
  <c r="AE356" i="1" s="1"/>
  <c r="AQ351" i="1"/>
  <c r="AT351" i="1" s="1"/>
  <c r="AT354" i="1" s="1"/>
  <c r="AL351" i="1"/>
  <c r="AO351" i="1" s="1"/>
  <c r="AO354" i="1" s="1"/>
  <c r="AG351" i="1"/>
  <c r="AJ351" i="1" s="1"/>
  <c r="AJ354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Z356" i="1" s="1"/>
  <c r="W352" i="1"/>
  <c r="Z352" i="1" s="1"/>
  <c r="Z355" i="1" s="1"/>
  <c r="W351" i="1"/>
  <c r="Z351" i="1" s="1"/>
  <c r="Z354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U356" i="1" s="1"/>
  <c r="R351" i="1"/>
  <c r="U351" i="1" s="1"/>
  <c r="U354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T345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T344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T343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FE344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FE343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E343" i="1"/>
  <c r="AS342" i="1"/>
  <c r="AR342" i="1"/>
  <c r="AN342" i="1"/>
  <c r="AM342" i="1"/>
  <c r="AI342" i="1"/>
  <c r="AH342" i="1"/>
  <c r="AG342" i="1"/>
  <c r="AJ342" i="1" s="1"/>
  <c r="AJ345" i="1" s="1"/>
  <c r="AD342" i="1"/>
  <c r="AC342" i="1"/>
  <c r="AQ341" i="1"/>
  <c r="AQ342" i="1" s="1"/>
  <c r="AT342" i="1" s="1"/>
  <c r="AT345" i="1" s="1"/>
  <c r="AO341" i="1"/>
  <c r="AO344" i="1" s="1"/>
  <c r="AL341" i="1"/>
  <c r="AL342" i="1" s="1"/>
  <c r="AO342" i="1" s="1"/>
  <c r="AO345" i="1" s="1"/>
  <c r="AG341" i="1"/>
  <c r="AJ341" i="1" s="1"/>
  <c r="AJ344" i="1" s="1"/>
  <c r="AB341" i="1"/>
  <c r="AB342" i="1" s="1"/>
  <c r="AE342" i="1" s="1"/>
  <c r="AE345" i="1" s="1"/>
  <c r="AQ340" i="1"/>
  <c r="AT340" i="1" s="1"/>
  <c r="AT343" i="1" s="1"/>
  <c r="AL340" i="1"/>
  <c r="AO340" i="1" s="1"/>
  <c r="AO343" i="1" s="1"/>
  <c r="AG340" i="1"/>
  <c r="AJ340" i="1" s="1"/>
  <c r="AJ343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Z344" i="1" s="1"/>
  <c r="W340" i="1"/>
  <c r="W342" i="1" s="1"/>
  <c r="Z342" i="1" s="1"/>
  <c r="Z345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U345" i="1" s="1"/>
  <c r="R340" i="1"/>
  <c r="U340" i="1" s="1"/>
  <c r="U343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T332" i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T333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E333" i="1" s="1"/>
  <c r="FB330" i="1"/>
  <c r="FB331" i="1" s="1"/>
  <c r="FE331" i="1" s="1"/>
  <c r="FE334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FE332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O333" i="1"/>
  <c r="AE332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T334" i="1" s="1"/>
  <c r="AO330" i="1"/>
  <c r="AL330" i="1"/>
  <c r="AL331" i="1" s="1"/>
  <c r="AO331" i="1" s="1"/>
  <c r="AO334" i="1" s="1"/>
  <c r="AG330" i="1"/>
  <c r="AJ330" i="1" s="1"/>
  <c r="AJ333" i="1" s="1"/>
  <c r="AE330" i="1"/>
  <c r="AE333" i="1" s="1"/>
  <c r="AB330" i="1"/>
  <c r="AB331" i="1" s="1"/>
  <c r="AE331" i="1" s="1"/>
  <c r="AE334" i="1" s="1"/>
  <c r="AQ329" i="1"/>
  <c r="AT329" i="1" s="1"/>
  <c r="AT332" i="1" s="1"/>
  <c r="AL329" i="1"/>
  <c r="AO329" i="1" s="1"/>
  <c r="AO332" i="1" s="1"/>
  <c r="AG329" i="1"/>
  <c r="AJ329" i="1" s="1"/>
  <c r="AJ332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Z334" i="1" s="1"/>
  <c r="W329" i="1"/>
  <c r="Z329" i="1" s="1"/>
  <c r="Z332" i="1" s="1"/>
  <c r="Z328" i="1"/>
  <c r="W328" i="1"/>
  <c r="W327" i="1"/>
  <c r="Z327" i="1" s="1"/>
  <c r="W326" i="1"/>
  <c r="Z326" i="1" s="1"/>
  <c r="T331" i="1"/>
  <c r="S331" i="1"/>
  <c r="R330" i="1"/>
  <c r="U330" i="1" s="1"/>
  <c r="U333" i="1" s="1"/>
  <c r="R329" i="1"/>
  <c r="R331" i="1" s="1"/>
  <c r="U331" i="1" s="1"/>
  <c r="U334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T323" i="1" s="1"/>
  <c r="FL319" i="1"/>
  <c r="FO319" i="1" s="1"/>
  <c r="FO322" i="1" s="1"/>
  <c r="FG319" i="1"/>
  <c r="FJ319" i="1" s="1"/>
  <c r="FJ322" i="1" s="1"/>
  <c r="FB319" i="1"/>
  <c r="FB320" i="1" s="1"/>
  <c r="FE320" i="1" s="1"/>
  <c r="FE323" i="1" s="1"/>
  <c r="FQ318" i="1"/>
  <c r="FT318" i="1" s="1"/>
  <c r="FT321" i="1" s="1"/>
  <c r="FL318" i="1"/>
  <c r="FO318" i="1" s="1"/>
  <c r="FO321" i="1" s="1"/>
  <c r="FG318" i="1"/>
  <c r="FJ318" i="1" s="1"/>
  <c r="FJ321" i="1" s="1"/>
  <c r="FB318" i="1"/>
  <c r="FE318" i="1" s="1"/>
  <c r="FE321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O321" i="1"/>
  <c r="AS320" i="1"/>
  <c r="AR320" i="1"/>
  <c r="AN320" i="1"/>
  <c r="AM320" i="1"/>
  <c r="AI320" i="1"/>
  <c r="AH320" i="1"/>
  <c r="AG320" i="1"/>
  <c r="AJ320" i="1" s="1"/>
  <c r="AJ323" i="1" s="1"/>
  <c r="AD320" i="1"/>
  <c r="AC320" i="1"/>
  <c r="AQ319" i="1"/>
  <c r="AQ320" i="1" s="1"/>
  <c r="AT320" i="1" s="1"/>
  <c r="AT323" i="1" s="1"/>
  <c r="AL319" i="1"/>
  <c r="AO319" i="1" s="1"/>
  <c r="AO322" i="1" s="1"/>
  <c r="AG319" i="1"/>
  <c r="AJ319" i="1" s="1"/>
  <c r="AJ322" i="1" s="1"/>
  <c r="AB319" i="1"/>
  <c r="AE319" i="1" s="1"/>
  <c r="AE322" i="1" s="1"/>
  <c r="AQ318" i="1"/>
  <c r="AT318" i="1" s="1"/>
  <c r="AT321" i="1" s="1"/>
  <c r="AO318" i="1"/>
  <c r="AL318" i="1"/>
  <c r="AG318" i="1"/>
  <c r="AJ318" i="1" s="1"/>
  <c r="AJ321" i="1" s="1"/>
  <c r="AB318" i="1"/>
  <c r="AE318" i="1" s="1"/>
  <c r="AE321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Z323" i="1" s="1"/>
  <c r="W318" i="1"/>
  <c r="Z318" i="1" s="1"/>
  <c r="Z321" i="1" s="1"/>
  <c r="Z317" i="1"/>
  <c r="W317" i="1"/>
  <c r="W316" i="1"/>
  <c r="Z316" i="1" s="1"/>
  <c r="W315" i="1"/>
  <c r="Z315" i="1" s="1"/>
  <c r="T320" i="1"/>
  <c r="S320" i="1"/>
  <c r="R319" i="1"/>
  <c r="U319" i="1" s="1"/>
  <c r="U322" i="1" s="1"/>
  <c r="R318" i="1"/>
  <c r="R320" i="1" s="1"/>
  <c r="U320" i="1" s="1"/>
  <c r="U323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FT311" i="1" s="1"/>
  <c r="GA307" i="1"/>
  <c r="GD307" i="1" s="1"/>
  <c r="GD310" i="1" s="1"/>
  <c r="FY307" i="1"/>
  <c r="FY310" i="1" s="1"/>
  <c r="FV307" i="1"/>
  <c r="FT307" i="1"/>
  <c r="FT310" i="1" s="1"/>
  <c r="FQ307" i="1"/>
  <c r="FQ309" i="1" s="1"/>
  <c r="FT309" i="1" s="1"/>
  <c r="FT312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E311" i="1" s="1"/>
  <c r="FB308" i="1"/>
  <c r="FB309" i="1" s="1"/>
  <c r="FE309" i="1" s="1"/>
  <c r="FE312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FE310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T312" i="1" s="1"/>
  <c r="AL308" i="1"/>
  <c r="AO308" i="1" s="1"/>
  <c r="AO311" i="1" s="1"/>
  <c r="AG308" i="1"/>
  <c r="AJ308" i="1" s="1"/>
  <c r="AJ311" i="1" s="1"/>
  <c r="AE308" i="1"/>
  <c r="AE311" i="1" s="1"/>
  <c r="AB308" i="1"/>
  <c r="AB309" i="1" s="1"/>
  <c r="AE309" i="1" s="1"/>
  <c r="AE312" i="1" s="1"/>
  <c r="AQ307" i="1"/>
  <c r="AT307" i="1" s="1"/>
  <c r="AT310" i="1" s="1"/>
  <c r="AL307" i="1"/>
  <c r="AO307" i="1" s="1"/>
  <c r="AO310" i="1" s="1"/>
  <c r="AG307" i="1"/>
  <c r="AJ307" i="1" s="1"/>
  <c r="AJ310" i="1" s="1"/>
  <c r="AB307" i="1"/>
  <c r="AE307" i="1" s="1"/>
  <c r="AE310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12" i="1" s="1"/>
  <c r="Z307" i="1"/>
  <c r="Z310" i="1" s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U312" i="1" s="1"/>
  <c r="R307" i="1"/>
  <c r="U307" i="1" s="1"/>
  <c r="U310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FT299" i="1"/>
  <c r="GC298" i="1"/>
  <c r="GB298" i="1"/>
  <c r="FX298" i="1"/>
  <c r="FW298" i="1"/>
  <c r="FS298" i="1"/>
  <c r="FR298" i="1"/>
  <c r="FQ298" i="1"/>
  <c r="FT298" i="1" s="1"/>
  <c r="FT301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T300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FE300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FE299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O299" i="1"/>
  <c r="AJ299" i="1"/>
  <c r="AS298" i="1"/>
  <c r="AR298" i="1"/>
  <c r="AN298" i="1"/>
  <c r="AM298" i="1"/>
  <c r="AI298" i="1"/>
  <c r="AH298" i="1"/>
  <c r="AG298" i="1"/>
  <c r="AJ298" i="1" s="1"/>
  <c r="AJ301" i="1" s="1"/>
  <c r="AD298" i="1"/>
  <c r="AC298" i="1"/>
  <c r="AT297" i="1"/>
  <c r="AT300" i="1" s="1"/>
  <c r="AQ297" i="1"/>
  <c r="AQ298" i="1" s="1"/>
  <c r="AT298" i="1" s="1"/>
  <c r="AT301" i="1" s="1"/>
  <c r="AL297" i="1"/>
  <c r="AO297" i="1" s="1"/>
  <c r="AO300" i="1" s="1"/>
  <c r="AG297" i="1"/>
  <c r="AJ297" i="1" s="1"/>
  <c r="AJ300" i="1" s="1"/>
  <c r="AB297" i="1"/>
  <c r="AB298" i="1" s="1"/>
  <c r="AE298" i="1" s="1"/>
  <c r="AE301" i="1" s="1"/>
  <c r="AQ296" i="1"/>
  <c r="AT296" i="1" s="1"/>
  <c r="AT299" i="1" s="1"/>
  <c r="AO296" i="1"/>
  <c r="AL296" i="1"/>
  <c r="AJ296" i="1"/>
  <c r="AG296" i="1"/>
  <c r="AB296" i="1"/>
  <c r="AE296" i="1" s="1"/>
  <c r="AE299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Z300" i="1" s="1"/>
  <c r="R297" i="1"/>
  <c r="R298" i="1" s="1"/>
  <c r="U298" i="1" s="1"/>
  <c r="U301" i="1" s="1"/>
  <c r="W296" i="1"/>
  <c r="Z296" i="1" s="1"/>
  <c r="Z299" i="1" s="1"/>
  <c r="R296" i="1"/>
  <c r="U296" i="1" s="1"/>
  <c r="U299" i="1" s="1"/>
  <c r="Z295" i="1"/>
  <c r="W295" i="1"/>
  <c r="W298" i="1" s="1"/>
  <c r="Z298" i="1" s="1"/>
  <c r="Z301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T289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T288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FE290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FE288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I286" i="1"/>
  <c r="DI287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T290" i="1" s="1"/>
  <c r="AQ285" i="1"/>
  <c r="AT285" i="1" s="1"/>
  <c r="AT288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O290" i="1" s="1"/>
  <c r="AL285" i="1"/>
  <c r="AO285" i="1" s="1"/>
  <c r="AO288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90" i="1" s="1"/>
  <c r="AJ285" i="1"/>
  <c r="AJ288" i="1" s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E290" i="1" s="1"/>
  <c r="AB285" i="1"/>
  <c r="AE285" i="1" s="1"/>
  <c r="AE288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Z290" i="1" s="1"/>
  <c r="W285" i="1"/>
  <c r="Z285" i="1" s="1"/>
  <c r="Z288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U290" i="1" s="1"/>
  <c r="R285" i="1"/>
  <c r="U285" i="1" s="1"/>
  <c r="U288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88" i="1"/>
  <c r="J287" i="1"/>
  <c r="I287" i="1"/>
  <c r="H286" i="1"/>
  <c r="H287" i="1" s="1"/>
  <c r="K287" i="1" s="1"/>
  <c r="K290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T278" i="1" s="1"/>
  <c r="FQ275" i="1"/>
  <c r="FL275" i="1"/>
  <c r="FO275" i="1" s="1"/>
  <c r="FO278" i="1" s="1"/>
  <c r="FG275" i="1"/>
  <c r="FJ275" i="1" s="1"/>
  <c r="FJ278" i="1" s="1"/>
  <c r="FE275" i="1"/>
  <c r="FE278" i="1" s="1"/>
  <c r="FB275" i="1"/>
  <c r="FB276" i="1" s="1"/>
  <c r="FE276" i="1" s="1"/>
  <c r="FE279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E277" i="1" s="1"/>
  <c r="FQ273" i="1"/>
  <c r="FQ276" i="1" s="1"/>
  <c r="FT276" i="1" s="1"/>
  <c r="FT279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T279" i="1" s="1"/>
  <c r="AQ274" i="1"/>
  <c r="AT274" i="1" s="1"/>
  <c r="AT277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O279" i="1" s="1"/>
  <c r="AL274" i="1"/>
  <c r="AO274" i="1" s="1"/>
  <c r="AO277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9" i="1" s="1"/>
  <c r="AJ274" i="1"/>
  <c r="AJ277" i="1" s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E279" i="1" s="1"/>
  <c r="AB274" i="1"/>
  <c r="AE274" i="1" s="1"/>
  <c r="AE277" i="1" s="1"/>
  <c r="AE273" i="1"/>
  <c r="AB273" i="1"/>
  <c r="AB272" i="1"/>
  <c r="AE272" i="1" s="1"/>
  <c r="AB271" i="1"/>
  <c r="AE271" i="1" s="1"/>
  <c r="Y276" i="1"/>
  <c r="X276" i="1"/>
  <c r="W275" i="1"/>
  <c r="Z275" i="1" s="1"/>
  <c r="Z278" i="1" s="1"/>
  <c r="W274" i="1"/>
  <c r="W276" i="1" s="1"/>
  <c r="Z276" i="1" s="1"/>
  <c r="Z279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U279" i="1" s="1"/>
  <c r="R274" i="1"/>
  <c r="U274" i="1" s="1"/>
  <c r="U277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FY264" i="1"/>
  <c r="FY267" i="1" s="1"/>
  <c r="FV264" i="1"/>
  <c r="FQ264" i="1"/>
  <c r="FT264" i="1" s="1"/>
  <c r="FT267" i="1" s="1"/>
  <c r="GA263" i="1"/>
  <c r="GD263" i="1" s="1"/>
  <c r="GD266" i="1" s="1"/>
  <c r="FV263" i="1"/>
  <c r="FY263" i="1" s="1"/>
  <c r="FY266" i="1" s="1"/>
  <c r="FQ263" i="1"/>
  <c r="FT263" i="1" s="1"/>
  <c r="FT266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FE268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FE267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E266" i="1" s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T267" i="1" s="1"/>
  <c r="AQ263" i="1"/>
  <c r="AQ265" i="1" s="1"/>
  <c r="AT265" i="1" s="1"/>
  <c r="AT268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O268" i="1" s="1"/>
  <c r="AL263" i="1"/>
  <c r="AO263" i="1" s="1"/>
  <c r="AO266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J268" i="1" s="1"/>
  <c r="AG263" i="1"/>
  <c r="AJ263" i="1" s="1"/>
  <c r="AJ266" i="1" s="1"/>
  <c r="AJ262" i="1"/>
  <c r="AG262" i="1"/>
  <c r="AG261" i="1"/>
  <c r="AJ261" i="1" s="1"/>
  <c r="AG260" i="1"/>
  <c r="AJ260" i="1" s="1"/>
  <c r="AD265" i="1"/>
  <c r="AC265" i="1"/>
  <c r="AE264" i="1"/>
  <c r="AE267" i="1" s="1"/>
  <c r="AB264" i="1"/>
  <c r="AB263" i="1"/>
  <c r="AE263" i="1" s="1"/>
  <c r="AE266" i="1" s="1"/>
  <c r="AE262" i="1"/>
  <c r="AB262" i="1"/>
  <c r="AB261" i="1"/>
  <c r="AE261" i="1" s="1"/>
  <c r="AB260" i="1"/>
  <c r="AE260" i="1" s="1"/>
  <c r="Y265" i="1"/>
  <c r="X265" i="1"/>
  <c r="W264" i="1"/>
  <c r="W263" i="1"/>
  <c r="Z263" i="1" s="1"/>
  <c r="Z266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U268" i="1" s="1"/>
  <c r="R263" i="1"/>
  <c r="U263" i="1" s="1"/>
  <c r="U266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T257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T256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T255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FE256" i="1" s="1"/>
  <c r="EW253" i="1"/>
  <c r="EZ253" i="1" s="1"/>
  <c r="EZ256" i="1" s="1"/>
  <c r="ER253" i="1"/>
  <c r="ER254" i="1" s="1"/>
  <c r="EU254" i="1" s="1"/>
  <c r="EU257" i="1" s="1"/>
  <c r="FG252" i="1"/>
  <c r="FJ252" i="1" s="1"/>
  <c r="FJ255" i="1" s="1"/>
  <c r="FB252" i="1"/>
  <c r="FE252" i="1" s="1"/>
  <c r="FE255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O256" i="1" s="1"/>
  <c r="AL252" i="1"/>
  <c r="AO252" i="1" s="1"/>
  <c r="AO255" i="1" s="1"/>
  <c r="AO251" i="1"/>
  <c r="AL251" i="1"/>
  <c r="AL250" i="1"/>
  <c r="AO250" i="1" s="1"/>
  <c r="AL249" i="1"/>
  <c r="AO249" i="1" s="1"/>
  <c r="AI254" i="1"/>
  <c r="AH254" i="1"/>
  <c r="AG253" i="1"/>
  <c r="AG252" i="1"/>
  <c r="AJ252" i="1" s="1"/>
  <c r="AJ255" i="1" s="1"/>
  <c r="AJ251" i="1"/>
  <c r="AG251" i="1"/>
  <c r="AG250" i="1"/>
  <c r="AJ250" i="1" s="1"/>
  <c r="AG249" i="1"/>
  <c r="AJ249" i="1" s="1"/>
  <c r="AD254" i="1"/>
  <c r="AC254" i="1"/>
  <c r="AB253" i="1"/>
  <c r="AB254" i="1" s="1"/>
  <c r="AE254" i="1" s="1"/>
  <c r="AE257" i="1" s="1"/>
  <c r="AB252" i="1"/>
  <c r="AE252" i="1" s="1"/>
  <c r="AE255" i="1" s="1"/>
  <c r="AE251" i="1"/>
  <c r="AB251" i="1"/>
  <c r="AB250" i="1"/>
  <c r="AE250" i="1" s="1"/>
  <c r="AB249" i="1"/>
  <c r="AE249" i="1" s="1"/>
  <c r="Y254" i="1"/>
  <c r="X254" i="1"/>
  <c r="W253" i="1"/>
  <c r="W252" i="1"/>
  <c r="Z252" i="1" s="1"/>
  <c r="Z255" i="1" s="1"/>
  <c r="W251" i="1"/>
  <c r="Z251" i="1" s="1"/>
  <c r="W250" i="1"/>
  <c r="Z250" i="1" s="1"/>
  <c r="W249" i="1"/>
  <c r="Z249" i="1" s="1"/>
  <c r="T254" i="1"/>
  <c r="S254" i="1"/>
  <c r="R253" i="1"/>
  <c r="R254" i="1" s="1"/>
  <c r="U254" i="1" s="1"/>
  <c r="U257" i="1" s="1"/>
  <c r="R252" i="1"/>
  <c r="U252" i="1" s="1"/>
  <c r="U255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T245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T244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O243" i="1"/>
  <c r="EN243" i="1"/>
  <c r="FE242" i="1"/>
  <c r="FE245" i="1" s="1"/>
  <c r="FB242" i="1"/>
  <c r="FB243" i="1" s="1"/>
  <c r="FE243" i="1" s="1"/>
  <c r="FE246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FE244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C240" i="1"/>
  <c r="EF240" i="1" s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AT244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1" i="1"/>
  <c r="AJ241" i="1" s="1"/>
  <c r="AJ244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E246" i="1" s="1"/>
  <c r="AB241" i="1"/>
  <c r="AE241" i="1" s="1"/>
  <c r="AE244" i="1" s="1"/>
  <c r="AE240" i="1"/>
  <c r="AB240" i="1"/>
  <c r="AB239" i="1"/>
  <c r="AE239" i="1" s="1"/>
  <c r="AB238" i="1"/>
  <c r="AE238" i="1" s="1"/>
  <c r="Y243" i="1"/>
  <c r="X243" i="1"/>
  <c r="W242" i="1"/>
  <c r="Z242" i="1" s="1"/>
  <c r="Z245" i="1" s="1"/>
  <c r="W241" i="1"/>
  <c r="Z241" i="1" s="1"/>
  <c r="Z244" i="1" s="1"/>
  <c r="W240" i="1"/>
  <c r="Z240" i="1" s="1"/>
  <c r="W239" i="1"/>
  <c r="Z239" i="1" s="1"/>
  <c r="W238" i="1"/>
  <c r="Z238" i="1" s="1"/>
  <c r="T243" i="1"/>
  <c r="S243" i="1"/>
  <c r="R242" i="1"/>
  <c r="U242" i="1" s="1"/>
  <c r="U245" i="1" s="1"/>
  <c r="R241" i="1"/>
  <c r="U240" i="1"/>
  <c r="R240" i="1"/>
  <c r="R239" i="1"/>
  <c r="U239" i="1" s="1"/>
  <c r="R238" i="1"/>
  <c r="U238" i="1" s="1"/>
  <c r="O243" i="1"/>
  <c r="N243" i="1"/>
  <c r="M242" i="1"/>
  <c r="M243" i="1" s="1"/>
  <c r="M241" i="1"/>
  <c r="P241" i="1" s="1"/>
  <c r="P244" i="1" s="1"/>
  <c r="P240" i="1"/>
  <c r="M240" i="1"/>
  <c r="M239" i="1"/>
  <c r="P239" i="1" s="1"/>
  <c r="P238" i="1"/>
  <c r="M238" i="1"/>
  <c r="K244" i="1"/>
  <c r="J243" i="1"/>
  <c r="I243" i="1"/>
  <c r="H242" i="1"/>
  <c r="H243" i="1" s="1"/>
  <c r="K243" i="1" s="1"/>
  <c r="K246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 s="1"/>
  <c r="K233" i="1" s="1"/>
  <c r="H231" i="1"/>
  <c r="K231" i="1" s="1"/>
  <c r="K234" i="1" s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T234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T233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E231" i="1"/>
  <c r="FE234" i="1" s="1"/>
  <c r="FB231" i="1"/>
  <c r="EW231" i="1"/>
  <c r="EZ231" i="1" s="1"/>
  <c r="EZ234" i="1" s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FB232" i="1" s="1"/>
  <c r="FE232" i="1" s="1"/>
  <c r="FE235" i="1" s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BH232" i="1"/>
  <c r="BG232" i="1"/>
  <c r="BC232" i="1"/>
  <c r="BB232" i="1"/>
  <c r="AX232" i="1"/>
  <c r="AW232" i="1"/>
  <c r="AS232" i="1"/>
  <c r="AR232" i="1"/>
  <c r="AN232" i="1"/>
  <c r="AM232" i="1"/>
  <c r="BI231" i="1"/>
  <c r="BI234" i="1" s="1"/>
  <c r="BF231" i="1"/>
  <c r="BA231" i="1"/>
  <c r="BD231" i="1" s="1"/>
  <c r="BD234" i="1" s="1"/>
  <c r="AV231" i="1"/>
  <c r="AV232" i="1" s="1"/>
  <c r="AY232" i="1" s="1"/>
  <c r="AY235" i="1" s="1"/>
  <c r="AQ231" i="1"/>
  <c r="AT231" i="1" s="1"/>
  <c r="AT234" i="1" s="1"/>
  <c r="AL231" i="1"/>
  <c r="AO231" i="1" s="1"/>
  <c r="AO234" i="1" s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Q230" i="1"/>
  <c r="AT230" i="1" s="1"/>
  <c r="AT233" i="1" s="1"/>
  <c r="AL230" i="1"/>
  <c r="AO230" i="1" s="1"/>
  <c r="AO233" i="1" s="1"/>
  <c r="BI229" i="1"/>
  <c r="BF229" i="1"/>
  <c r="BA229" i="1"/>
  <c r="BA232" i="1" s="1"/>
  <c r="BD232" i="1" s="1"/>
  <c r="BD235" i="1" s="1"/>
  <c r="AY229" i="1"/>
  <c r="AV229" i="1"/>
  <c r="AQ229" i="1"/>
  <c r="AT229" i="1" s="1"/>
  <c r="AO229" i="1"/>
  <c r="AL229" i="1"/>
  <c r="BF228" i="1"/>
  <c r="BI228" i="1" s="1"/>
  <c r="BD228" i="1"/>
  <c r="BA228" i="1"/>
  <c r="AV228" i="1"/>
  <c r="AY228" i="1" s="1"/>
  <c r="AT228" i="1"/>
  <c r="AQ228" i="1"/>
  <c r="AL228" i="1"/>
  <c r="AO228" i="1" s="1"/>
  <c r="BI227" i="1"/>
  <c r="BF227" i="1"/>
  <c r="BA227" i="1"/>
  <c r="BD227" i="1" s="1"/>
  <c r="AY227" i="1"/>
  <c r="AV227" i="1"/>
  <c r="AQ227" i="1"/>
  <c r="AT227" i="1" s="1"/>
  <c r="AL227" i="1"/>
  <c r="AD232" i="1"/>
  <c r="AC232" i="1"/>
  <c r="AB231" i="1"/>
  <c r="AE231" i="1" s="1"/>
  <c r="AE234" i="1" s="1"/>
  <c r="AB230" i="1"/>
  <c r="AE230" i="1" s="1"/>
  <c r="AE233" i="1" s="1"/>
  <c r="AE229" i="1"/>
  <c r="AB229" i="1"/>
  <c r="AB228" i="1"/>
  <c r="AE228" i="1" s="1"/>
  <c r="AB227" i="1"/>
  <c r="AE227" i="1" s="1"/>
  <c r="Y232" i="1"/>
  <c r="X232" i="1"/>
  <c r="W231" i="1"/>
  <c r="W230" i="1"/>
  <c r="Z230" i="1" s="1"/>
  <c r="Z233" i="1" s="1"/>
  <c r="W229" i="1"/>
  <c r="Z229" i="1" s="1"/>
  <c r="W228" i="1"/>
  <c r="Z228" i="1" s="1"/>
  <c r="W227" i="1"/>
  <c r="Z227" i="1" s="1"/>
  <c r="T232" i="1"/>
  <c r="S232" i="1"/>
  <c r="R231" i="1"/>
  <c r="U231" i="1" s="1"/>
  <c r="U234" i="1" s="1"/>
  <c r="R230" i="1"/>
  <c r="U230" i="1" s="1"/>
  <c r="U233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FY220" i="1"/>
  <c r="FY223" i="1" s="1"/>
  <c r="FV220" i="1"/>
  <c r="FQ220" i="1"/>
  <c r="FT220" i="1" s="1"/>
  <c r="FT223" i="1" s="1"/>
  <c r="GA219" i="1"/>
  <c r="GD219" i="1" s="1"/>
  <c r="GD222" i="1" s="1"/>
  <c r="FV219" i="1"/>
  <c r="FV221" i="1" s="1"/>
  <c r="FY221" i="1" s="1"/>
  <c r="FY224" i="1" s="1"/>
  <c r="FQ219" i="1"/>
  <c r="FT219" i="1" s="1"/>
  <c r="FT222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FB221" i="1"/>
  <c r="FE221" i="1" s="1"/>
  <c r="FE224" i="1" s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FE223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FE222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H221" i="1"/>
  <c r="BG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F220" i="1"/>
  <c r="BI220" i="1" s="1"/>
  <c r="BI223" i="1" s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I221" i="1"/>
  <c r="AH221" i="1"/>
  <c r="AV220" i="1"/>
  <c r="AQ220" i="1"/>
  <c r="AT220" i="1" s="1"/>
  <c r="AT223" i="1" s="1"/>
  <c r="AL220" i="1"/>
  <c r="AO220" i="1" s="1"/>
  <c r="AO223" i="1" s="1"/>
  <c r="AG220" i="1"/>
  <c r="AG221" i="1" s="1"/>
  <c r="AV219" i="1"/>
  <c r="AY219" i="1" s="1"/>
  <c r="AY222" i="1" s="1"/>
  <c r="AQ219" i="1"/>
  <c r="AT219" i="1" s="1"/>
  <c r="AT222" i="1" s="1"/>
  <c r="AL219" i="1"/>
  <c r="AO219" i="1" s="1"/>
  <c r="AO222" i="1" s="1"/>
  <c r="AG219" i="1"/>
  <c r="AJ219" i="1" s="1"/>
  <c r="AJ222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19" i="1"/>
  <c r="Z219" i="1" s="1"/>
  <c r="Z222" i="1" s="1"/>
  <c r="Z218" i="1"/>
  <c r="W218" i="1"/>
  <c r="W217" i="1"/>
  <c r="Z217" i="1" s="1"/>
  <c r="W216" i="1"/>
  <c r="Z216" i="1" s="1"/>
  <c r="T221" i="1"/>
  <c r="S221" i="1"/>
  <c r="R220" i="1"/>
  <c r="R219" i="1"/>
  <c r="U219" i="1" s="1"/>
  <c r="U222" i="1" s="1"/>
  <c r="U218" i="1"/>
  <c r="R218" i="1"/>
  <c r="R217" i="1"/>
  <c r="U217" i="1" s="1"/>
  <c r="R216" i="1"/>
  <c r="U216" i="1" s="1"/>
  <c r="O221" i="1"/>
  <c r="N221" i="1"/>
  <c r="M220" i="1"/>
  <c r="M221" i="1" s="1"/>
  <c r="M219" i="1"/>
  <c r="P219" i="1" s="1"/>
  <c r="P222" i="1" s="1"/>
  <c r="P218" i="1"/>
  <c r="M218" i="1"/>
  <c r="M217" i="1"/>
  <c r="P217" i="1" s="1"/>
  <c r="M216" i="1"/>
  <c r="P216" i="1" s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T213" i="1" s="1"/>
  <c r="FO209" i="1"/>
  <c r="FO212" i="1" s="1"/>
  <c r="FL209" i="1"/>
  <c r="FG209" i="1"/>
  <c r="FJ209" i="1" s="1"/>
  <c r="FJ212" i="1" s="1"/>
  <c r="FT208" i="1"/>
  <c r="FT211" i="1" s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FE213" i="1" s="1"/>
  <c r="EW209" i="1"/>
  <c r="EW210" i="1" s="1"/>
  <c r="EZ210" i="1" s="1"/>
  <c r="EZ213" i="1" s="1"/>
  <c r="ER209" i="1"/>
  <c r="EU209" i="1" s="1"/>
  <c r="EU212" i="1" s="1"/>
  <c r="FE208" i="1"/>
  <c r="FE211" i="1" s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AT212" i="1" s="1"/>
  <c r="BA208" i="1"/>
  <c r="BD208" i="1" s="1"/>
  <c r="BD211" i="1" s="1"/>
  <c r="AV208" i="1"/>
  <c r="AQ208" i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G209" i="1"/>
  <c r="AJ209" i="1" s="1"/>
  <c r="AJ212" i="1" s="1"/>
  <c r="AB209" i="1"/>
  <c r="AE209" i="1" s="1"/>
  <c r="AE212" i="1" s="1"/>
  <c r="AL208" i="1"/>
  <c r="AO208" i="1" s="1"/>
  <c r="AO211" i="1" s="1"/>
  <c r="AG208" i="1"/>
  <c r="AB208" i="1"/>
  <c r="AE208" i="1" s="1"/>
  <c r="AE211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U213" i="1" s="1"/>
  <c r="R208" i="1"/>
  <c r="U208" i="1" s="1"/>
  <c r="U211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J210" i="1"/>
  <c r="I210" i="1"/>
  <c r="H209" i="1"/>
  <c r="H208" i="1"/>
  <c r="K208" i="1" s="1"/>
  <c r="K211" i="1" s="1"/>
  <c r="H207" i="1"/>
  <c r="K207" i="1" s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FT201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FE202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FE200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Q198" i="1"/>
  <c r="AQ199" i="1" s="1"/>
  <c r="AV197" i="1"/>
  <c r="AY197" i="1" s="1"/>
  <c r="AY200" i="1" s="1"/>
  <c r="AQ197" i="1"/>
  <c r="AT197" i="1" s="1"/>
  <c r="AT200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O201" i="1" s="1"/>
  <c r="AG198" i="1"/>
  <c r="AJ198" i="1" s="1"/>
  <c r="AJ201" i="1" s="1"/>
  <c r="AL197" i="1"/>
  <c r="AO197" i="1" s="1"/>
  <c r="AO200" i="1" s="1"/>
  <c r="AG197" i="1"/>
  <c r="AJ197" i="1" s="1"/>
  <c r="AJ200" i="1" s="1"/>
  <c r="AL196" i="1"/>
  <c r="AG196" i="1"/>
  <c r="AJ196" i="1" s="1"/>
  <c r="AL195" i="1"/>
  <c r="AO195" i="1" s="1"/>
  <c r="AJ195" i="1"/>
  <c r="AG195" i="1"/>
  <c r="AL194" i="1"/>
  <c r="AO194" i="1" s="1"/>
  <c r="AG194" i="1"/>
  <c r="AJ194" i="1" s="1"/>
  <c r="AD199" i="1"/>
  <c r="AC199" i="1"/>
  <c r="Y199" i="1"/>
  <c r="X199" i="1"/>
  <c r="AB198" i="1"/>
  <c r="AE198" i="1" s="1"/>
  <c r="AE201" i="1" s="1"/>
  <c r="W198" i="1"/>
  <c r="W199" i="1" s="1"/>
  <c r="AB197" i="1"/>
  <c r="AE197" i="1" s="1"/>
  <c r="AE200" i="1" s="1"/>
  <c r="W197" i="1"/>
  <c r="Z197" i="1" s="1"/>
  <c r="Z200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0" i="1"/>
  <c r="J199" i="1"/>
  <c r="I199" i="1"/>
  <c r="H198" i="1"/>
  <c r="K198" i="1" s="1"/>
  <c r="K201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T180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T178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FE179" i="1" s="1"/>
  <c r="EW176" i="1"/>
  <c r="EW177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FE178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AT179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AT178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G176" i="1"/>
  <c r="AJ176" i="1" s="1"/>
  <c r="AJ179" i="1" s="1"/>
  <c r="AB176" i="1"/>
  <c r="AE176" i="1" s="1"/>
  <c r="AE179" i="1" s="1"/>
  <c r="AO175" i="1"/>
  <c r="AO178" i="1" s="1"/>
  <c r="AL175" i="1"/>
  <c r="AG175" i="1"/>
  <c r="AB175" i="1"/>
  <c r="AE175" i="1" s="1"/>
  <c r="AE178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Z179" i="1" s="1"/>
  <c r="W175" i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U180" i="1" s="1"/>
  <c r="R175" i="1"/>
  <c r="U175" i="1" s="1"/>
  <c r="U178" i="1" s="1"/>
  <c r="R174" i="1"/>
  <c r="R173" i="1"/>
  <c r="U173" i="1" s="1"/>
  <c r="R172" i="1"/>
  <c r="U172" i="1" s="1"/>
  <c r="O177" i="1"/>
  <c r="N177" i="1"/>
  <c r="M176" i="1"/>
  <c r="M175" i="1"/>
  <c r="P175" i="1" s="1"/>
  <c r="P178" i="1" s="1"/>
  <c r="P174" i="1"/>
  <c r="M174" i="1"/>
  <c r="P173" i="1"/>
  <c r="M173" i="1"/>
  <c r="M172" i="1"/>
  <c r="P172" i="1" s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T191" i="1" s="1"/>
  <c r="FQ186" i="1"/>
  <c r="FT186" i="1" s="1"/>
  <c r="FT189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91" i="1" s="1"/>
  <c r="FE186" i="1"/>
  <c r="FE189" i="1" s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T190" i="1" s="1"/>
  <c r="AQ186" i="1"/>
  <c r="AT186" i="1" s="1"/>
  <c r="AT189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O191" i="1" s="1"/>
  <c r="AL186" i="1"/>
  <c r="AO186" i="1" s="1"/>
  <c r="AO189" i="1" s="1"/>
  <c r="AO185" i="1"/>
  <c r="AL185" i="1"/>
  <c r="AL184" i="1"/>
  <c r="AO184" i="1" s="1"/>
  <c r="AL183" i="1"/>
  <c r="AO183" i="1" s="1"/>
  <c r="AI188" i="1"/>
  <c r="AH188" i="1"/>
  <c r="AG187" i="1"/>
  <c r="AG186" i="1"/>
  <c r="AJ186" i="1" s="1"/>
  <c r="AJ189" i="1" s="1"/>
  <c r="AG185" i="1"/>
  <c r="AJ185" i="1" s="1"/>
  <c r="AG184" i="1"/>
  <c r="AJ184" i="1" s="1"/>
  <c r="AG183" i="1"/>
  <c r="AJ183" i="1" s="1"/>
  <c r="AD188" i="1"/>
  <c r="AC188" i="1"/>
  <c r="AB187" i="1"/>
  <c r="AB188" i="1" s="1"/>
  <c r="AE188" i="1" s="1"/>
  <c r="AE191" i="1" s="1"/>
  <c r="AB186" i="1"/>
  <c r="AE186" i="1" s="1"/>
  <c r="AE189" i="1" s="1"/>
  <c r="AE185" i="1"/>
  <c r="AB185" i="1"/>
  <c r="AB184" i="1"/>
  <c r="AE184" i="1" s="1"/>
  <c r="AB183" i="1"/>
  <c r="AE183" i="1" s="1"/>
  <c r="Y188" i="1"/>
  <c r="X188" i="1"/>
  <c r="W187" i="1"/>
  <c r="W188" i="1" s="1"/>
  <c r="W186" i="1"/>
  <c r="Z186" i="1" s="1"/>
  <c r="Z189" i="1" s="1"/>
  <c r="Z185" i="1"/>
  <c r="W185" i="1"/>
  <c r="W184" i="1"/>
  <c r="Z184" i="1" s="1"/>
  <c r="W183" i="1"/>
  <c r="Z183" i="1" s="1"/>
  <c r="T188" i="1"/>
  <c r="S188" i="1"/>
  <c r="R187" i="1"/>
  <c r="U187" i="1" s="1"/>
  <c r="U190" i="1" s="1"/>
  <c r="R186" i="1"/>
  <c r="U186" i="1" s="1"/>
  <c r="U189" i="1" s="1"/>
  <c r="U185" i="1"/>
  <c r="R185" i="1"/>
  <c r="R184" i="1"/>
  <c r="U184" i="1" s="1"/>
  <c r="R183" i="1"/>
  <c r="U183" i="1" s="1"/>
  <c r="J188" i="1"/>
  <c r="I188" i="1"/>
  <c r="K185" i="1"/>
  <c r="K186" i="1"/>
  <c r="K189" i="1" s="1"/>
  <c r="H184" i="1"/>
  <c r="K184" i="1" s="1"/>
  <c r="H185" i="1"/>
  <c r="H186" i="1"/>
  <c r="H187" i="1"/>
  <c r="K187" i="1" s="1"/>
  <c r="K190" i="1" s="1"/>
  <c r="H183" i="1"/>
  <c r="K183" i="1" s="1"/>
  <c r="GD106" i="1"/>
  <c r="GC106" i="1"/>
  <c r="GB106" i="1"/>
  <c r="GA106" i="1"/>
  <c r="FY106" i="1"/>
  <c r="FX106" i="1"/>
  <c r="FW106" i="1"/>
  <c r="FV106" i="1"/>
  <c r="FT106" i="1"/>
  <c r="FS106" i="1"/>
  <c r="FR106" i="1"/>
  <c r="FQ106" i="1"/>
  <c r="FO106" i="1"/>
  <c r="FN106" i="1"/>
  <c r="FM106" i="1"/>
  <c r="FL106" i="1"/>
  <c r="FJ106" i="1"/>
  <c r="FI106" i="1"/>
  <c r="FH106" i="1"/>
  <c r="FG106" i="1"/>
  <c r="FG166" i="1" s="1"/>
  <c r="FE106" i="1"/>
  <c r="FD106" i="1"/>
  <c r="FC106" i="1"/>
  <c r="FB106" i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S106" i="1"/>
  <c r="AR106" i="1"/>
  <c r="AT106" i="1" s="1"/>
  <c r="AQ106" i="1"/>
  <c r="AO106" i="1"/>
  <c r="AN106" i="1"/>
  <c r="AM106" i="1"/>
  <c r="AL106" i="1"/>
  <c r="AI106" i="1"/>
  <c r="AH106" i="1"/>
  <c r="AJ106" i="1" s="1"/>
  <c r="AG106" i="1"/>
  <c r="AD106" i="1"/>
  <c r="AC106" i="1"/>
  <c r="AE106" i="1" s="1"/>
  <c r="AB106" i="1"/>
  <c r="Z106" i="1"/>
  <c r="U106" i="1"/>
  <c r="P106" i="1"/>
  <c r="K106" i="1"/>
  <c r="F106" i="1"/>
  <c r="GD167" i="1"/>
  <c r="FY167" i="1"/>
  <c r="FT167" i="1"/>
  <c r="FY166" i="1"/>
  <c r="FT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S165" i="1"/>
  <c r="FS166" i="1" s="1"/>
  <c r="FR165" i="1"/>
  <c r="FR166" i="1" s="1"/>
  <c r="FQ165" i="1"/>
  <c r="FO167" i="1"/>
  <c r="FJ167" i="1"/>
  <c r="FE167" i="1"/>
  <c r="FO166" i="1"/>
  <c r="FJ166" i="1"/>
  <c r="FE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D165" i="1"/>
  <c r="FD166" i="1" s="1"/>
  <c r="FC165" i="1"/>
  <c r="FC166" i="1" s="1"/>
  <c r="FB165" i="1"/>
  <c r="FB166" i="1" s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T167" i="1"/>
  <c r="AO167" i="1"/>
  <c r="AQ166" i="1"/>
  <c r="AY165" i="1"/>
  <c r="AX165" i="1"/>
  <c r="AX166" i="1" s="1"/>
  <c r="AW165" i="1"/>
  <c r="AV165" i="1"/>
  <c r="AT165" i="1"/>
  <c r="AS165" i="1"/>
  <c r="AR165" i="1"/>
  <c r="AQ165" i="1"/>
  <c r="AO165" i="1"/>
  <c r="AN165" i="1"/>
  <c r="AN166" i="1" s="1"/>
  <c r="AM165" i="1"/>
  <c r="AM166" i="1" s="1"/>
  <c r="AL165" i="1"/>
  <c r="AL166" i="1" s="1"/>
  <c r="AJ167" i="1"/>
  <c r="AE167" i="1"/>
  <c r="Z167" i="1"/>
  <c r="AI165" i="1"/>
  <c r="AI166" i="1" s="1"/>
  <c r="AH165" i="1"/>
  <c r="AH166" i="1" s="1"/>
  <c r="AG165" i="1"/>
  <c r="AJ165" i="1" s="1"/>
  <c r="AD165" i="1"/>
  <c r="AC165" i="1"/>
  <c r="AB165" i="1"/>
  <c r="Z165" i="1"/>
  <c r="Y165" i="1"/>
  <c r="Y166" i="1" s="1"/>
  <c r="X165" i="1"/>
  <c r="X166" i="1" s="1"/>
  <c r="Z166" i="1" s="1"/>
  <c r="W165" i="1"/>
  <c r="W166" i="1" s="1"/>
  <c r="F166" i="1"/>
  <c r="F165" i="1"/>
  <c r="K166" i="1"/>
  <c r="K165" i="1"/>
  <c r="P166" i="1"/>
  <c r="P165" i="1"/>
  <c r="U166" i="1"/>
  <c r="U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H162" i="1"/>
  <c r="AD162" i="1"/>
  <c r="AC162" i="1"/>
  <c r="Y162" i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R138" i="1"/>
  <c r="AN138" i="1"/>
  <c r="AM138" i="1"/>
  <c r="AI138" i="1"/>
  <c r="AH138" i="1"/>
  <c r="AD138" i="1"/>
  <c r="AC138" i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R75" i="1"/>
  <c r="FN75" i="1"/>
  <c r="FM75" i="1"/>
  <c r="FI75" i="1"/>
  <c r="FH75" i="1"/>
  <c r="FD75" i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R75" i="1"/>
  <c r="AN75" i="1"/>
  <c r="AM75" i="1"/>
  <c r="AL75" i="1" s="1"/>
  <c r="AO75" i="1" s="1"/>
  <c r="AI75" i="1"/>
  <c r="AH75" i="1"/>
  <c r="AD75" i="1"/>
  <c r="AC75" i="1"/>
  <c r="Y75" i="1"/>
  <c r="Y106" i="1" s="1"/>
  <c r="X75" i="1"/>
  <c r="W75" i="1" s="1"/>
  <c r="Z75" i="1" s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H210" i="1" l="1"/>
  <c r="K210" i="1" s="1"/>
  <c r="K213" i="1" s="1"/>
  <c r="AE496" i="1"/>
  <c r="AE499" i="1" s="1"/>
  <c r="H232" i="1"/>
  <c r="U496" i="1"/>
  <c r="U499" i="1" s="1"/>
  <c r="U495" i="1"/>
  <c r="U498" i="1" s="1"/>
  <c r="EZ177" i="1"/>
  <c r="EZ180" i="1" s="1"/>
  <c r="W254" i="1"/>
  <c r="Z254" i="1" s="1"/>
  <c r="Z257" i="1" s="1"/>
  <c r="H199" i="1"/>
  <c r="K199" i="1" s="1"/>
  <c r="K202" i="1" s="1"/>
  <c r="AO177" i="1"/>
  <c r="AO180" i="1" s="1"/>
  <c r="AO495" i="1"/>
  <c r="AO498" i="1" s="1"/>
  <c r="EW199" i="1"/>
  <c r="EZ199" i="1" s="1"/>
  <c r="EZ202" i="1" s="1"/>
  <c r="EZ242" i="1"/>
  <c r="EZ245" i="1" s="1"/>
  <c r="EZ209" i="1"/>
  <c r="EZ212" i="1" s="1"/>
  <c r="AG254" i="1"/>
  <c r="AJ254" i="1" s="1"/>
  <c r="AJ257" i="1" s="1"/>
  <c r="Z495" i="1"/>
  <c r="Z498" i="1" s="1"/>
  <c r="GA265" i="1"/>
  <c r="GD265" i="1" s="1"/>
  <c r="GD268" i="1" s="1"/>
  <c r="GA221" i="1"/>
  <c r="GD221" i="1" s="1"/>
  <c r="GD224" i="1" s="1"/>
  <c r="AV562" i="1"/>
  <c r="AY562" i="1" s="1"/>
  <c r="AY565" i="1" s="1"/>
  <c r="AV221" i="1"/>
  <c r="AY221" i="1" s="1"/>
  <c r="AY224" i="1" s="1"/>
  <c r="AB265" i="1"/>
  <c r="AE265" i="1" s="1"/>
  <c r="AE268" i="1" s="1"/>
  <c r="AL221" i="1"/>
  <c r="AO221" i="1" s="1"/>
  <c r="AO224" i="1" s="1"/>
  <c r="AV210" i="1"/>
  <c r="AY210" i="1" s="1"/>
  <c r="AY213" i="1" s="1"/>
  <c r="P243" i="1"/>
  <c r="P246" i="1" s="1"/>
  <c r="W265" i="1"/>
  <c r="Z265" i="1" s="1"/>
  <c r="Z268" i="1" s="1"/>
  <c r="R221" i="1"/>
  <c r="U221" i="1" s="1"/>
  <c r="U224" i="1" s="1"/>
  <c r="AV243" i="1"/>
  <c r="AY243" i="1" s="1"/>
  <c r="AY246" i="1" s="1"/>
  <c r="AY231" i="1"/>
  <c r="AY234" i="1" s="1"/>
  <c r="BF221" i="1"/>
  <c r="BI221" i="1" s="1"/>
  <c r="BI224" i="1" s="1"/>
  <c r="DL287" i="1"/>
  <c r="DL290" i="1" s="1"/>
  <c r="DL286" i="1"/>
  <c r="DL289" i="1" s="1"/>
  <c r="P221" i="1"/>
  <c r="P224" i="1" s="1"/>
  <c r="K232" i="1"/>
  <c r="K235" i="1" s="1"/>
  <c r="AG177" i="1"/>
  <c r="AJ177" i="1" s="1"/>
  <c r="AJ180" i="1" s="1"/>
  <c r="H408" i="1"/>
  <c r="K408" i="1" s="1"/>
  <c r="K411" i="1" s="1"/>
  <c r="DI177" i="1"/>
  <c r="DL177" i="1" s="1"/>
  <c r="DL180" i="1" s="1"/>
  <c r="AG188" i="1"/>
  <c r="AJ188" i="1" s="1"/>
  <c r="AJ191" i="1" s="1"/>
  <c r="W177" i="1"/>
  <c r="Z177" i="1" s="1"/>
  <c r="Z180" i="1" s="1"/>
  <c r="AO485" i="1"/>
  <c r="AO488" i="1" s="1"/>
  <c r="AO484" i="1"/>
  <c r="AO487" i="1" s="1"/>
  <c r="AT199" i="1"/>
  <c r="AT202" i="1" s="1"/>
  <c r="EU243" i="1"/>
  <c r="EU246" i="1" s="1"/>
  <c r="DN243" i="1"/>
  <c r="DQ243" i="1" s="1"/>
  <c r="DQ246" i="1" s="1"/>
  <c r="DN199" i="1"/>
  <c r="DQ199" i="1" s="1"/>
  <c r="DQ202" i="1" s="1"/>
  <c r="AL199" i="1"/>
  <c r="AO199" i="1" s="1"/>
  <c r="AO202" i="1" s="1"/>
  <c r="AQ210" i="1"/>
  <c r="AT210" i="1" s="1"/>
  <c r="AT213" i="1" s="1"/>
  <c r="EC485" i="1"/>
  <c r="EF485" i="1" s="1"/>
  <c r="EF488" i="1" s="1"/>
  <c r="R419" i="1"/>
  <c r="U419" i="1" s="1"/>
  <c r="U422" i="1" s="1"/>
  <c r="AG199" i="1"/>
  <c r="AJ199" i="1" s="1"/>
  <c r="AJ202" i="1" s="1"/>
  <c r="DN221" i="1"/>
  <c r="DQ221" i="1" s="1"/>
  <c r="DQ224" i="1" s="1"/>
  <c r="AL452" i="1"/>
  <c r="AO452" i="1" s="1"/>
  <c r="AO455" i="1" s="1"/>
  <c r="AQ243" i="1"/>
  <c r="AT243" i="1" s="1"/>
  <c r="AT246" i="1" s="1"/>
  <c r="AQ452" i="1"/>
  <c r="AT452" i="1" s="1"/>
  <c r="AT455" i="1" s="1"/>
  <c r="ER419" i="1"/>
  <c r="EU419" i="1" s="1"/>
  <c r="EU422" i="1" s="1"/>
  <c r="Z188" i="1"/>
  <c r="Z191" i="1" s="1"/>
  <c r="Z199" i="1"/>
  <c r="Z202" i="1" s="1"/>
  <c r="AJ221" i="1"/>
  <c r="AJ224" i="1" s="1"/>
  <c r="DQ451" i="1"/>
  <c r="DQ454" i="1" s="1"/>
  <c r="ER221" i="1"/>
  <c r="EU221" i="1" s="1"/>
  <c r="EU224" i="1" s="1"/>
  <c r="P418" i="1"/>
  <c r="P421" i="1" s="1"/>
  <c r="EC232" i="1"/>
  <c r="EF232" i="1" s="1"/>
  <c r="EF235" i="1" s="1"/>
  <c r="W485" i="1"/>
  <c r="Z485" i="1" s="1"/>
  <c r="Z488" i="1" s="1"/>
  <c r="W221" i="1"/>
  <c r="Z221" i="1" s="1"/>
  <c r="Z224" i="1" s="1"/>
  <c r="R243" i="1"/>
  <c r="U243" i="1" s="1"/>
  <c r="U246" i="1" s="1"/>
  <c r="R232" i="1"/>
  <c r="U232" i="1" s="1"/>
  <c r="U235" i="1" s="1"/>
  <c r="AG419" i="1"/>
  <c r="AJ419" i="1" s="1"/>
  <c r="AJ422" i="1" s="1"/>
  <c r="AG452" i="1"/>
  <c r="AJ452" i="1" s="1"/>
  <c r="AJ455" i="1" s="1"/>
  <c r="AL210" i="1"/>
  <c r="AO210" i="1" s="1"/>
  <c r="AO213" i="1" s="1"/>
  <c r="AL232" i="1"/>
  <c r="AO232" i="1" s="1"/>
  <c r="AO235" i="1" s="1"/>
  <c r="AO227" i="1"/>
  <c r="AT198" i="1"/>
  <c r="AT201" i="1" s="1"/>
  <c r="EU253" i="1"/>
  <c r="EU256" i="1" s="1"/>
  <c r="ER452" i="1"/>
  <c r="EU452" i="1" s="1"/>
  <c r="EU455" i="1" s="1"/>
  <c r="P451" i="1"/>
  <c r="P454" i="1" s="1"/>
  <c r="EC254" i="1"/>
  <c r="EF254" i="1" s="1"/>
  <c r="EF257" i="1" s="1"/>
  <c r="AB485" i="1"/>
  <c r="AE485" i="1" s="1"/>
  <c r="AE488" i="1" s="1"/>
  <c r="W232" i="1"/>
  <c r="Z232" i="1" s="1"/>
  <c r="Z235" i="1" s="1"/>
  <c r="R188" i="1"/>
  <c r="U188" i="1" s="1"/>
  <c r="U191" i="1" s="1"/>
  <c r="AG243" i="1"/>
  <c r="AJ243" i="1" s="1"/>
  <c r="AJ246" i="1" s="1"/>
  <c r="AG210" i="1"/>
  <c r="AJ210" i="1" s="1"/>
  <c r="AJ213" i="1" s="1"/>
  <c r="GD550" i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FE554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E564" i="1" s="1"/>
  <c r="AT561" i="1"/>
  <c r="AT564" i="1" s="1"/>
  <c r="AL551" i="1"/>
  <c r="AO551" i="1" s="1"/>
  <c r="AO554" i="1" s="1"/>
  <c r="Z561" i="1"/>
  <c r="Z564" i="1" s="1"/>
  <c r="R551" i="1"/>
  <c r="U551" i="1" s="1"/>
  <c r="U554" i="1" s="1"/>
  <c r="U561" i="1"/>
  <c r="U564" i="1" s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1" i="1" s="1"/>
  <c r="FT528" i="1"/>
  <c r="FT531" i="1" s="1"/>
  <c r="FO516" i="1"/>
  <c r="FO519" i="1" s="1"/>
  <c r="FO539" i="1"/>
  <c r="FO542" i="1" s="1"/>
  <c r="FJ539" i="1"/>
  <c r="FJ542" i="1" s="1"/>
  <c r="FE516" i="1"/>
  <c r="FE519" i="1" s="1"/>
  <c r="FE539" i="1"/>
  <c r="FE542" i="1" s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O521" i="1" s="1"/>
  <c r="AE516" i="1"/>
  <c r="AE519" i="1" s="1"/>
  <c r="AE526" i="1"/>
  <c r="AE539" i="1"/>
  <c r="AE542" i="1" s="1"/>
  <c r="AT517" i="1"/>
  <c r="AT520" i="1" s="1"/>
  <c r="AJ526" i="1"/>
  <c r="AT539" i="1"/>
  <c r="AT542" i="1" s="1"/>
  <c r="AG518" i="1"/>
  <c r="AJ518" i="1" s="1"/>
  <c r="AJ521" i="1" s="1"/>
  <c r="Z517" i="1"/>
  <c r="Z520" i="1" s="1"/>
  <c r="U515" i="1"/>
  <c r="U539" i="1"/>
  <c r="U542" i="1" s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T488" i="1" s="1"/>
  <c r="FL485" i="1"/>
  <c r="FO485" i="1" s="1"/>
  <c r="FO488" i="1" s="1"/>
  <c r="FJ484" i="1"/>
  <c r="FJ487" i="1" s="1"/>
  <c r="FE495" i="1"/>
  <c r="FE498" i="1" s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T499" i="1" s="1"/>
  <c r="AG507" i="1"/>
  <c r="AJ507" i="1" s="1"/>
  <c r="AJ510" i="1" s="1"/>
  <c r="AT484" i="1"/>
  <c r="AT487" i="1" s="1"/>
  <c r="AJ493" i="1"/>
  <c r="AG485" i="1"/>
  <c r="AJ485" i="1" s="1"/>
  <c r="AJ488" i="1" s="1"/>
  <c r="Z506" i="1"/>
  <c r="Z509" i="1" s="1"/>
  <c r="Z484" i="1"/>
  <c r="Z487" i="1" s="1"/>
  <c r="U505" i="1"/>
  <c r="U508" i="1" s="1"/>
  <c r="U484" i="1"/>
  <c r="U487" i="1" s="1"/>
  <c r="P506" i="1"/>
  <c r="P509" i="1" s="1"/>
  <c r="P484" i="1"/>
  <c r="P487" i="1" s="1"/>
  <c r="K506" i="1"/>
  <c r="K495" i="1"/>
  <c r="K498" i="1" s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76" i="1" s="1"/>
  <c r="FT451" i="1"/>
  <c r="FT454" i="1" s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FE454" i="1" s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E476" i="1" s="1"/>
  <c r="AJ450" i="1"/>
  <c r="AJ453" i="1" s="1"/>
  <c r="AT451" i="1"/>
  <c r="AT454" i="1" s="1"/>
  <c r="AJ460" i="1"/>
  <c r="AT471" i="1"/>
  <c r="AB452" i="1"/>
  <c r="AE452" i="1" s="1"/>
  <c r="AE455" i="1" s="1"/>
  <c r="AL463" i="1"/>
  <c r="AO463" i="1" s="1"/>
  <c r="AO466" i="1" s="1"/>
  <c r="Z473" i="1"/>
  <c r="Z476" i="1" s="1"/>
  <c r="Z451" i="1"/>
  <c r="Z454" i="1" s="1"/>
  <c r="R463" i="1"/>
  <c r="U463" i="1" s="1"/>
  <c r="U466" i="1" s="1"/>
  <c r="R452" i="1"/>
  <c r="U452" i="1" s="1"/>
  <c r="U455" i="1" s="1"/>
  <c r="P473" i="1"/>
  <c r="P476" i="1" s="1"/>
  <c r="K473" i="1"/>
  <c r="K462" i="1"/>
  <c r="FT428" i="1"/>
  <c r="FT431" i="1" s="1"/>
  <c r="FQ441" i="1"/>
  <c r="FT441" i="1" s="1"/>
  <c r="FT444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T433" i="1" s="1"/>
  <c r="AG441" i="1"/>
  <c r="AJ441" i="1" s="1"/>
  <c r="AJ444" i="1" s="1"/>
  <c r="AJ427" i="1"/>
  <c r="AL441" i="1"/>
  <c r="AO441" i="1" s="1"/>
  <c r="AO444" i="1" s="1"/>
  <c r="AT440" i="1"/>
  <c r="AT443" i="1" s="1"/>
  <c r="AL430" i="1"/>
  <c r="AO430" i="1" s="1"/>
  <c r="AO433" i="1" s="1"/>
  <c r="U440" i="1"/>
  <c r="U443" i="1" s="1"/>
  <c r="P440" i="1"/>
  <c r="P443" i="1" s="1"/>
  <c r="K440" i="1"/>
  <c r="K429" i="1"/>
  <c r="FL419" i="1"/>
  <c r="FO419" i="1" s="1"/>
  <c r="FO422" i="1" s="1"/>
  <c r="FQ419" i="1"/>
  <c r="FT419" i="1" s="1"/>
  <c r="FT422" i="1" s="1"/>
  <c r="FY418" i="1"/>
  <c r="FY421" i="1" s="1"/>
  <c r="EP418" i="1"/>
  <c r="EP421" i="1" s="1"/>
  <c r="EW419" i="1"/>
  <c r="EZ419" i="1" s="1"/>
  <c r="EZ422" i="1" s="1"/>
  <c r="FE418" i="1"/>
  <c r="FE421" i="1" s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E421" i="1" s="1"/>
  <c r="AL419" i="1"/>
  <c r="AO419" i="1" s="1"/>
  <c r="AO422" i="1" s="1"/>
  <c r="AT418" i="1"/>
  <c r="AT421" i="1" s="1"/>
  <c r="Z418" i="1"/>
  <c r="Z421" i="1" s="1"/>
  <c r="U418" i="1"/>
  <c r="U421" i="1" s="1"/>
  <c r="K418" i="1"/>
  <c r="GD405" i="1"/>
  <c r="FY407" i="1"/>
  <c r="FY410" i="1" s="1"/>
  <c r="FE407" i="1"/>
  <c r="FE410" i="1" s="1"/>
  <c r="FL408" i="1"/>
  <c r="FO408" i="1" s="1"/>
  <c r="FO411" i="1" s="1"/>
  <c r="FT407" i="1"/>
  <c r="FT410" i="1" s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E410" i="1" s="1"/>
  <c r="AL408" i="1"/>
  <c r="AO408" i="1" s="1"/>
  <c r="AO411" i="1" s="1"/>
  <c r="AT407" i="1"/>
  <c r="AT410" i="1" s="1"/>
  <c r="Z407" i="1"/>
  <c r="Z410" i="1" s="1"/>
  <c r="U407" i="1"/>
  <c r="U410" i="1" s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O400" i="1" s="1"/>
  <c r="AT396" i="1"/>
  <c r="AT399" i="1" s="1"/>
  <c r="Z396" i="1"/>
  <c r="Z399" i="1" s="1"/>
  <c r="U396" i="1"/>
  <c r="U399" i="1" s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E388" i="1" s="1"/>
  <c r="AL386" i="1"/>
  <c r="AO386" i="1" s="1"/>
  <c r="AO389" i="1" s="1"/>
  <c r="AT385" i="1"/>
  <c r="AT388" i="1" s="1"/>
  <c r="Z385" i="1"/>
  <c r="Z388" i="1" s="1"/>
  <c r="U385" i="1"/>
  <c r="U388" i="1" s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E377" i="1" s="1"/>
  <c r="AT374" i="1"/>
  <c r="AT377" i="1" s="1"/>
  <c r="U374" i="1"/>
  <c r="U377" i="1" s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FT366" i="1" s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J367" i="1" s="1"/>
  <c r="AT363" i="1"/>
  <c r="AT366" i="1" s="1"/>
  <c r="Z363" i="1"/>
  <c r="Z366" i="1" s="1"/>
  <c r="U363" i="1"/>
  <c r="U366" i="1" s="1"/>
  <c r="P363" i="1"/>
  <c r="P366" i="1" s="1"/>
  <c r="K363" i="1"/>
  <c r="GD352" i="1"/>
  <c r="GD355" i="1" s="1"/>
  <c r="FY351" i="1"/>
  <c r="FY354" i="1" s="1"/>
  <c r="FQ353" i="1"/>
  <c r="FT353" i="1" s="1"/>
  <c r="FT356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E355" i="1" s="1"/>
  <c r="AT352" i="1"/>
  <c r="AT355" i="1" s="1"/>
  <c r="U352" i="1"/>
  <c r="U355" i="1" s="1"/>
  <c r="P352" i="1"/>
  <c r="P355" i="1" s="1"/>
  <c r="K352" i="1"/>
  <c r="FO341" i="1"/>
  <c r="FO344" i="1" s="1"/>
  <c r="GD341" i="1"/>
  <c r="GD344" i="1" s="1"/>
  <c r="FB342" i="1"/>
  <c r="FE342" i="1" s="1"/>
  <c r="FE345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E344" i="1" s="1"/>
  <c r="AT341" i="1"/>
  <c r="AT344" i="1" s="1"/>
  <c r="Z340" i="1"/>
  <c r="Z343" i="1" s="1"/>
  <c r="U341" i="1"/>
  <c r="U344" i="1" s="1"/>
  <c r="P341" i="1"/>
  <c r="P344" i="1" s="1"/>
  <c r="GD330" i="1"/>
  <c r="GD333" i="1" s="1"/>
  <c r="FJ330" i="1"/>
  <c r="FJ333" i="1" s="1"/>
  <c r="FQ331" i="1"/>
  <c r="FT331" i="1" s="1"/>
  <c r="FT334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J334" i="1" s="1"/>
  <c r="AT330" i="1"/>
  <c r="AT333" i="1" s="1"/>
  <c r="Z330" i="1"/>
  <c r="Z333" i="1" s="1"/>
  <c r="U329" i="1"/>
  <c r="U332" i="1" s="1"/>
  <c r="P330" i="1"/>
  <c r="P333" i="1" s="1"/>
  <c r="K330" i="1"/>
  <c r="GD317" i="1"/>
  <c r="FY319" i="1"/>
  <c r="FY322" i="1" s="1"/>
  <c r="FE319" i="1"/>
  <c r="FE322" i="1" s="1"/>
  <c r="FL320" i="1"/>
  <c r="FO320" i="1" s="1"/>
  <c r="FO323" i="1" s="1"/>
  <c r="FT319" i="1"/>
  <c r="FT322" i="1" s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O323" i="1" s="1"/>
  <c r="AT319" i="1"/>
  <c r="AT322" i="1" s="1"/>
  <c r="AB320" i="1"/>
  <c r="AE320" i="1" s="1"/>
  <c r="AE323" i="1" s="1"/>
  <c r="Z319" i="1"/>
  <c r="Z322" i="1" s="1"/>
  <c r="U318" i="1"/>
  <c r="U321" i="1" s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J312" i="1" s="1"/>
  <c r="AL309" i="1"/>
  <c r="AO309" i="1" s="1"/>
  <c r="AO312" i="1" s="1"/>
  <c r="AT308" i="1"/>
  <c r="AT311" i="1" s="1"/>
  <c r="Z308" i="1"/>
  <c r="Z311" i="1" s="1"/>
  <c r="U308" i="1"/>
  <c r="U311" i="1" s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FE301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O301" i="1" s="1"/>
  <c r="AE297" i="1"/>
  <c r="AE300" i="1" s="1"/>
  <c r="U297" i="1"/>
  <c r="U300" i="1" s="1"/>
  <c r="P297" i="1"/>
  <c r="P300" i="1" s="1"/>
  <c r="K297" i="1"/>
  <c r="GD286" i="1"/>
  <c r="GD289" i="1" s="1"/>
  <c r="FJ286" i="1"/>
  <c r="FJ289" i="1" s="1"/>
  <c r="FQ287" i="1"/>
  <c r="FT287" i="1" s="1"/>
  <c r="FT290" i="1" s="1"/>
  <c r="FY286" i="1"/>
  <c r="FY289" i="1" s="1"/>
  <c r="EP286" i="1"/>
  <c r="EP289" i="1" s="1"/>
  <c r="EW287" i="1"/>
  <c r="EZ287" i="1" s="1"/>
  <c r="EZ290" i="1" s="1"/>
  <c r="FE286" i="1"/>
  <c r="FE289" i="1" s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T289" i="1" s="1"/>
  <c r="AO286" i="1"/>
  <c r="AO289" i="1" s="1"/>
  <c r="AJ286" i="1"/>
  <c r="AJ289" i="1" s="1"/>
  <c r="AE286" i="1"/>
  <c r="AE289" i="1" s="1"/>
  <c r="Z286" i="1"/>
  <c r="Z289" i="1" s="1"/>
  <c r="U286" i="1"/>
  <c r="U289" i="1" s="1"/>
  <c r="P286" i="1"/>
  <c r="P289" i="1" s="1"/>
  <c r="K286" i="1"/>
  <c r="K289" i="1" s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T278" i="1" s="1"/>
  <c r="AO275" i="1"/>
  <c r="AO278" i="1" s="1"/>
  <c r="AJ275" i="1"/>
  <c r="AJ278" i="1" s="1"/>
  <c r="AE275" i="1"/>
  <c r="AE278" i="1" s="1"/>
  <c r="Z274" i="1"/>
  <c r="Z277" i="1" s="1"/>
  <c r="U275" i="1"/>
  <c r="U278" i="1" s="1"/>
  <c r="P275" i="1"/>
  <c r="P278" i="1" s="1"/>
  <c r="K275" i="1"/>
  <c r="GD264" i="1"/>
  <c r="GD267" i="1" s="1"/>
  <c r="FQ265" i="1"/>
  <c r="FT265" i="1" s="1"/>
  <c r="FT268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T266" i="1" s="1"/>
  <c r="AO264" i="1"/>
  <c r="AO267" i="1" s="1"/>
  <c r="AJ264" i="1"/>
  <c r="AJ267" i="1" s="1"/>
  <c r="Z264" i="1"/>
  <c r="Z267" i="1" s="1"/>
  <c r="U264" i="1"/>
  <c r="U267" i="1" s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E257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O257" i="1" s="1"/>
  <c r="AJ253" i="1"/>
  <c r="AJ256" i="1" s="1"/>
  <c r="AE253" i="1"/>
  <c r="AE256" i="1" s="1"/>
  <c r="Z253" i="1"/>
  <c r="Z256" i="1" s="1"/>
  <c r="U253" i="1"/>
  <c r="U256" i="1" s="1"/>
  <c r="P253" i="1"/>
  <c r="P256" i="1" s="1"/>
  <c r="K253" i="1"/>
  <c r="GD242" i="1"/>
  <c r="GD245" i="1" s="1"/>
  <c r="FJ242" i="1"/>
  <c r="FJ245" i="1" s="1"/>
  <c r="FQ243" i="1"/>
  <c r="FT243" i="1" s="1"/>
  <c r="FT246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T245" i="1" s="1"/>
  <c r="AJ242" i="1"/>
  <c r="AJ245" i="1" s="1"/>
  <c r="AE242" i="1"/>
  <c r="AE245" i="1" s="1"/>
  <c r="W243" i="1"/>
  <c r="Z243" i="1" s="1"/>
  <c r="Z246" i="1" s="1"/>
  <c r="U241" i="1"/>
  <c r="U244" i="1" s="1"/>
  <c r="P242" i="1"/>
  <c r="P245" i="1" s="1"/>
  <c r="K242" i="1"/>
  <c r="K245" i="1" s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FT235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T235" i="1" s="1"/>
  <c r="AB232" i="1"/>
  <c r="AE232" i="1" s="1"/>
  <c r="AE235" i="1" s="1"/>
  <c r="Z231" i="1"/>
  <c r="Z234" i="1" s="1"/>
  <c r="P231" i="1"/>
  <c r="P234" i="1" s="1"/>
  <c r="FQ221" i="1"/>
  <c r="FT221" i="1" s="1"/>
  <c r="FT224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J223" i="1" s="1"/>
  <c r="AQ221" i="1"/>
  <c r="AT221" i="1" s="1"/>
  <c r="AT224" i="1" s="1"/>
  <c r="AY220" i="1"/>
  <c r="AY223" i="1" s="1"/>
  <c r="Z220" i="1"/>
  <c r="Z223" i="1" s="1"/>
  <c r="U220" i="1"/>
  <c r="U223" i="1" s="1"/>
  <c r="P220" i="1"/>
  <c r="P223" i="1" s="1"/>
  <c r="K220" i="1"/>
  <c r="K223" i="1" s="1"/>
  <c r="GD207" i="1"/>
  <c r="FY209" i="1"/>
  <c r="FY212" i="1" s="1"/>
  <c r="FT209" i="1"/>
  <c r="FT212" i="1" s="1"/>
  <c r="FE209" i="1"/>
  <c r="FE212" i="1" s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T211" i="1" s="1"/>
  <c r="AY208" i="1"/>
  <c r="AY211" i="1" s="1"/>
  <c r="AO209" i="1"/>
  <c r="AO212" i="1" s="1"/>
  <c r="AB210" i="1"/>
  <c r="AE210" i="1" s="1"/>
  <c r="AE213" i="1" s="1"/>
  <c r="AJ208" i="1"/>
  <c r="AJ211" i="1" s="1"/>
  <c r="U209" i="1"/>
  <c r="U212" i="1" s="1"/>
  <c r="P209" i="1"/>
  <c r="P212" i="1" s="1"/>
  <c r="K209" i="1"/>
  <c r="K212" i="1" s="1"/>
  <c r="FQ199" i="1"/>
  <c r="FT199" i="1" s="1"/>
  <c r="FT202" i="1" s="1"/>
  <c r="FE198" i="1"/>
  <c r="FE201" i="1" s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AE202" i="1" s="1"/>
  <c r="Z198" i="1"/>
  <c r="Z201" i="1" s="1"/>
  <c r="P198" i="1"/>
  <c r="P201" i="1" s="1"/>
  <c r="FV177" i="1"/>
  <c r="FY177" i="1" s="1"/>
  <c r="FY180" i="1" s="1"/>
  <c r="FT176" i="1"/>
  <c r="FT179" i="1" s="1"/>
  <c r="FB177" i="1"/>
  <c r="FE177" i="1" s="1"/>
  <c r="FE180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AT180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E180" i="1" s="1"/>
  <c r="AJ175" i="1"/>
  <c r="AJ178" i="1" s="1"/>
  <c r="Z175" i="1"/>
  <c r="Z178" i="1" s="1"/>
  <c r="U174" i="1"/>
  <c r="U176" i="1"/>
  <c r="U179" i="1" s="1"/>
  <c r="P176" i="1"/>
  <c r="P179" i="1" s="1"/>
  <c r="M177" i="1"/>
  <c r="P177" i="1" s="1"/>
  <c r="P180" i="1" s="1"/>
  <c r="GD187" i="1"/>
  <c r="GD190" i="1" s="1"/>
  <c r="FY187" i="1"/>
  <c r="FY190" i="1" s="1"/>
  <c r="FT187" i="1"/>
  <c r="FT190" i="1" s="1"/>
  <c r="FO187" i="1"/>
  <c r="FO190" i="1" s="1"/>
  <c r="FJ186" i="1"/>
  <c r="FJ189" i="1" s="1"/>
  <c r="FE187" i="1"/>
  <c r="FE190" i="1" s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T191" i="1" s="1"/>
  <c r="AO187" i="1"/>
  <c r="AO190" i="1" s="1"/>
  <c r="AJ187" i="1"/>
  <c r="AJ190" i="1" s="1"/>
  <c r="AE187" i="1"/>
  <c r="AE190" i="1" s="1"/>
  <c r="Z187" i="1"/>
  <c r="Z190" i="1" s="1"/>
  <c r="H188" i="1"/>
  <c r="K188" i="1" s="1"/>
  <c r="K191" i="1" s="1"/>
  <c r="FV166" i="1"/>
  <c r="FW166" i="1"/>
  <c r="FX166" i="1"/>
  <c r="GA166" i="1"/>
  <c r="GD166" i="1" s="1"/>
  <c r="FH166" i="1"/>
  <c r="FI166" i="1"/>
  <c r="FQ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T166" i="1" s="1"/>
  <c r="AS166" i="1"/>
  <c r="AV166" i="1"/>
  <c r="AW166" i="1"/>
  <c r="AY166" i="1" s="1"/>
  <c r="AB166" i="1"/>
  <c r="AC166" i="1"/>
  <c r="AE166" i="1" s="1"/>
  <c r="AD166" i="1"/>
  <c r="EZ166" i="1"/>
  <c r="ES166" i="1"/>
  <c r="EU166" i="1" s="1"/>
  <c r="DO166" i="1"/>
  <c r="DQ166" i="1" s="1"/>
  <c r="AO166" i="1"/>
  <c r="AE165" i="1"/>
  <c r="AG166" i="1"/>
  <c r="AJ166" i="1" s="1"/>
  <c r="FG103" i="1"/>
  <c r="BZ103" i="1"/>
  <c r="CC103" i="1" s="1"/>
  <c r="EH103" i="1"/>
  <c r="M103" i="1"/>
  <c r="P103" i="1" s="1"/>
  <c r="AB75" i="1"/>
  <c r="AE75" i="1" s="1"/>
  <c r="FQ75" i="1"/>
  <c r="FT75" i="1" s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AT75" i="1" s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AJ75" i="1" s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FE75" i="1" s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E10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R106" i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FE138" i="1" s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AT138" i="1" s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S166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AE138" i="1" s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166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BA162" i="1"/>
  <c r="CE162" i="1"/>
  <c r="DI162" i="1"/>
  <c r="EM162" i="1"/>
  <c r="FQ162" i="1"/>
  <c r="C158" i="1"/>
  <c r="F158" i="1" s="1"/>
  <c r="C159" i="1"/>
  <c r="F159" i="1" s="1"/>
  <c r="AL162" i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H106" i="1" l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F138" i="1" s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D166" i="1" l="1"/>
  <c r="C165" i="1"/>
  <c r="F162" i="1"/>
  <c r="F167" i="1"/>
  <c r="C106" i="1"/>
  <c r="F103" i="1"/>
  <c r="C166" i="1" l="1"/>
</calcChain>
</file>

<file path=xl/sharedStrings.xml><?xml version="1.0" encoding="utf-8"?>
<sst xmlns="http://schemas.openxmlformats.org/spreadsheetml/2006/main" count="1293" uniqueCount="249">
  <si>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</si>
  <si>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</si>
  <si>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</si>
  <si>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</si>
  <si>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</si>
  <si>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</si>
  <si>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</si>
  <si>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</si>
  <si>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</si>
  <si>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</si>
  <si>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</si>
  <si>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</si>
  <si>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</si>
  <si>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</si>
  <si>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</si>
  <si>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</si>
  <si>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</si>
  <si>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</si>
  <si>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</si>
  <si>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</si>
  <si>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</si>
  <si>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</si>
  <si>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</si>
  <si>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</si>
  <si>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</si>
  <si>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</si>
  <si>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</si>
  <si>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</si>
  <si>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</si>
  <si>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</si>
  <si>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</si>
  <si>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</si>
  <si>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</si>
  <si>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</si>
  <si>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</si>
  <si>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</si>
  <si>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</si>
  <si>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</si>
  <si>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</si>
  <si>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</si>
  <si>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</si>
  <si>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</si>
  <si>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</si>
  <si>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</si>
  <si>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</si>
  <si>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</si>
  <si>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</si>
  <si>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</si>
  <si>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</si>
  <si>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</si>
  <si>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</si>
  <si>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</si>
  <si>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</si>
  <si>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</si>
  <si>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</si>
  <si>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</si>
  <si>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</si>
  <si>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</si>
  <si>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</si>
  <si>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</si>
  <si>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</si>
  <si>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</si>
  <si>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</si>
  <si>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</si>
  <si>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</si>
  <si>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</si>
  <si>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</si>
  <si>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</si>
  <si>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</si>
  <si>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</si>
  <si>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</si>
  <si>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</si>
  <si>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</si>
  <si>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</si>
  <si>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</si>
  <si>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</si>
  <si>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</si>
  <si>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</si>
  <si>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</si>
  <si>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</si>
  <si>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</si>
  <si>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</si>
  <si>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</si>
  <si>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</si>
  <si>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</si>
  <si>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</si>
  <si>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</si>
  <si>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</si>
  <si>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</si>
  <si>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</si>
  <si>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</si>
  <si>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</si>
  <si>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</si>
  <si>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</si>
  <si>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</si>
  <si>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</si>
  <si>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</si>
  <si>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</si>
  <si>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</si>
  <si>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</si>
  <si>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</si>
  <si>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</si>
  <si>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</si>
  <si>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</si>
  <si>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</si>
  <si>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</si>
  <si>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</si>
  <si>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</si>
  <si>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</si>
  <si>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</si>
  <si>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</si>
  <si>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</si>
  <si>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</si>
  <si>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</si>
  <si>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</si>
  <si>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</si>
  <si>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</si>
  <si>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</si>
  <si>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</si>
  <si>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</si>
  <si>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</si>
  <si>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</si>
  <si>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</si>
  <si>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</si>
  <si>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</si>
  <si>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</si>
  <si>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</si>
  <si>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</si>
  <si>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</si>
  <si>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</si>
  <si>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</si>
  <si>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</si>
  <si>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</si>
  <si>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</si>
  <si>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</si>
  <si>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</si>
  <si>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</si>
  <si>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</si>
  <si>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</si>
  <si>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</si>
  <si>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</si>
  <si>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</si>
  <si>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</si>
  <si>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</si>
  <si>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</si>
  <si>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</si>
  <si>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</si>
  <si>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</si>
  <si>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</si>
  <si>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</si>
  <si>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</si>
  <si>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</si>
  <si>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</si>
  <si>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</si>
  <si>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</si>
  <si>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</si>
  <si>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</si>
  <si>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</si>
  <si>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</si>
  <si>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</si>
  <si>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</si>
  <si>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</si>
  <si>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</si>
  <si>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</si>
  <si>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</si>
  <si>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</si>
  <si>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</si>
  <si>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</si>
  <si>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</si>
  <si>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</si>
  <si>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Lost</t>
  </si>
  <si>
    <t>TJ</t>
  </si>
  <si>
    <t>Total Average win%</t>
  </si>
  <si>
    <t>Total Played</t>
  </si>
  <si>
    <t>BenN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</si>
  <si>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</si>
  <si>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</si>
  <si>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</si>
  <si>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</si>
  <si>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</si>
  <si>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</si>
  <si>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</si>
  <si>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</si>
  <si>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</si>
  <si>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</si>
  <si>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</si>
  <si>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</si>
  <si>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</si>
  <si>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</si>
  <si>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</si>
  <si>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</si>
  <si>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</si>
  <si>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</si>
  <si>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</si>
  <si>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</si>
  <si>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</si>
  <si>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</si>
  <si>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</si>
  <si>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</si>
  <si>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</si>
  <si>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</si>
  <si>
    <t>end</t>
  </si>
  <si>
    <t>roleend</t>
  </si>
  <si>
    <t>Townsfolk Total</t>
  </si>
  <si>
    <t>Outsider Total</t>
  </si>
  <si>
    <t>Minion Total</t>
  </si>
  <si>
    <t>Good Averages</t>
  </si>
  <si>
    <t>Total Averages</t>
  </si>
  <si>
    <t>Evil Averages</t>
  </si>
  <si>
    <t>slane3470</t>
  </si>
  <si>
    <t>.celari</t>
  </si>
  <si>
    <t>Usernames</t>
  </si>
  <si>
    <t>dadude</t>
  </si>
  <si>
    <t>draconic_lord</t>
  </si>
  <si>
    <t>thereligionofpeanut</t>
  </si>
  <si>
    <t>orourkustortoise</t>
  </si>
  <si>
    <t>toomai1970</t>
  </si>
  <si>
    <t>lazymech.</t>
  </si>
  <si>
    <t>antinium1312.</t>
  </si>
  <si>
    <t>brotatornator666</t>
  </si>
  <si>
    <t>ianoid</t>
  </si>
  <si>
    <t>roobinski</t>
  </si>
  <si>
    <t>bossors</t>
  </si>
  <si>
    <t>tsarplatinum</t>
  </si>
  <si>
    <t>ordainedtick266</t>
  </si>
  <si>
    <t>hamsternaut</t>
  </si>
  <si>
    <t>.defize</t>
  </si>
  <si>
    <t>brob5046</t>
  </si>
  <si>
    <t>benign_skies</t>
  </si>
  <si>
    <t>cgotnr</t>
  </si>
  <si>
    <t>seventyseven_77</t>
  </si>
  <si>
    <t>trees17</t>
  </si>
  <si>
    <t>jetotavio</t>
  </si>
  <si>
    <t>livburrowss</t>
  </si>
  <si>
    <t>sincerenumber82</t>
  </si>
  <si>
    <t>withasideofsalt</t>
  </si>
  <si>
    <t>thorijus</t>
  </si>
  <si>
    <t>arcticreaper91</t>
  </si>
  <si>
    <t>theytookawaymyzalgo</t>
  </si>
  <si>
    <t>aero1908</t>
  </si>
  <si>
    <t>mrshuvaluva</t>
  </si>
  <si>
    <t>rashorras</t>
  </si>
  <si>
    <t>Lewis</t>
  </si>
  <si>
    <t>rainbowhead</t>
  </si>
  <si>
    <t>Ben</t>
  </si>
  <si>
    <t>Josh</t>
  </si>
  <si>
    <t>joshuab0681</t>
  </si>
  <si>
    <t>Demon Total</t>
  </si>
  <si>
    <t>Chambermaid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</si>
</sst>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CE5" activePane="bottomRight" state="frozen"/>
      <selection pane="topRight" activeCell="B1" sqref="B1"/>
      <selection pane="bottomLeft" activeCell="A5" sqref="A5"/>
      <selection pane="bottomRight" activeCell="A15" sqref="A15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93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174</v>
      </c>
      <c r="CL1" s="4"/>
      <c r="CM1" s="4"/>
      <c r="CN1" s="4"/>
      <c r="CO1" s="4"/>
      <c r="CP1" s="4" t="s">
        <v>245</v>
      </c>
      <c r="CQ1" s="4"/>
      <c r="CR1" s="4"/>
      <c r="CS1" s="4"/>
      <c r="CT1" s="4"/>
      <c r="CU1" s="4" t="s">
        <v>242</v>
      </c>
      <c r="CV1" s="4"/>
      <c r="CW1" s="4"/>
      <c r="CX1" s="4"/>
      <c r="CY1" s="4"/>
      <c r="CZ1" s="4" t="s">
        <v>244</v>
      </c>
      <c r="DA1" s="4"/>
      <c r="DB1" s="4"/>
      <c r="DC1" s="4"/>
      <c r="DD1" s="4"/>
      <c r="DE1" s="4" t="s">
        <v>17</v>
      </c>
      <c r="DF1" s="4"/>
      <c r="DG1" s="4"/>
      <c r="DH1" s="4"/>
      <c r="DI1" s="4"/>
      <c r="DJ1" s="4" t="s">
        <v>18</v>
      </c>
      <c r="DK1" s="4"/>
      <c r="DL1" s="4"/>
      <c r="DM1" s="4"/>
      <c r="DN1" s="4"/>
      <c r="DO1" s="4" t="s">
        <v>19</v>
      </c>
      <c r="DP1" s="4"/>
      <c r="DQ1" s="4"/>
      <c r="DR1" s="4"/>
      <c r="DS1" s="4"/>
      <c r="DT1" s="4" t="s">
        <v>20</v>
      </c>
      <c r="DU1" s="4"/>
      <c r="DV1" s="4"/>
      <c r="DW1" s="4"/>
      <c r="DX1" s="4"/>
      <c r="DY1" s="4" t="s">
        <v>21</v>
      </c>
      <c r="DZ1" s="4"/>
      <c r="EA1" s="4"/>
      <c r="EB1" s="4"/>
      <c r="EC1" s="4"/>
      <c r="ED1" s="4" t="s">
        <v>22</v>
      </c>
      <c r="EE1" s="4"/>
      <c r="EF1" s="4"/>
      <c r="EG1" s="4"/>
      <c r="EH1" s="4"/>
      <c r="EI1" s="4" t="s">
        <v>23</v>
      </c>
      <c r="EJ1" s="4"/>
      <c r="EK1" s="4"/>
      <c r="EL1" s="4"/>
      <c r="EM1" s="4"/>
      <c r="EN1" s="4" t="s">
        <v>24</v>
      </c>
      <c r="EO1" s="4"/>
      <c r="EP1" s="4"/>
      <c r="EQ1" s="4"/>
      <c r="ER1" s="4"/>
      <c r="ES1" s="4" t="s">
        <v>171</v>
      </c>
      <c r="ET1" s="4"/>
      <c r="EU1" s="4"/>
      <c r="EV1" s="4"/>
      <c r="EW1" s="4"/>
      <c r="EX1" s="4" t="s">
        <v>182</v>
      </c>
      <c r="EY1" s="4"/>
      <c r="EZ1" s="4"/>
      <c r="FA1" s="4"/>
      <c r="FB1" s="4"/>
      <c r="FC1" s="4" t="s">
        <v>183</v>
      </c>
      <c r="FD1" s="4"/>
      <c r="FE1" s="4"/>
      <c r="FF1" s="4"/>
      <c r="FG1" s="4"/>
      <c r="FH1" s="4" t="s">
        <v>188</v>
      </c>
      <c r="FI1" s="4"/>
      <c r="FJ1" s="4"/>
      <c r="FK1" s="4"/>
      <c r="FL1" s="4"/>
      <c r="FM1" s="4" t="s">
        <v>189</v>
      </c>
      <c r="FN1" s="4"/>
      <c r="FO1" s="4"/>
      <c r="FP1" s="4"/>
      <c r="FQ1" s="4"/>
      <c r="FR1" s="4" t="s">
        <v>190</v>
      </c>
      <c r="FS1" s="4"/>
      <c r="FT1" s="4"/>
      <c r="FU1" s="4"/>
      <c r="FV1" s="4"/>
      <c r="FW1" s="4" t="s">
        <v>200</v>
      </c>
      <c r="FX1" s="4"/>
      <c r="FY1" s="4"/>
      <c r="FZ1" s="4"/>
      <c r="GA1" s="4"/>
      <c r="GB1" s="4" t="s">
        <v>179</v>
      </c>
      <c r="GC1" s="4"/>
      <c r="GD1" s="4"/>
      <c r="GE1" s="3" t="s">
        <v>201</v>
      </c>
    </row>
    <row r="2" spans="1:187" x14ac:dyDescent="0.25">
      <c r="A2" s="4" t="s">
        <v>211</v>
      </c>
      <c r="B2" s="4"/>
      <c r="C2" s="4"/>
      <c r="D2" s="4"/>
      <c r="E2" s="4"/>
      <c r="F2" s="4"/>
      <c r="G2" s="4"/>
      <c r="H2" s="4"/>
      <c r="I2" s="4" t="s">
        <v>209</v>
      </c>
      <c r="J2" s="4"/>
      <c r="K2" s="4"/>
      <c r="L2" s="4"/>
      <c r="M2" s="4"/>
      <c r="N2" s="4" t="s">
        <v>210</v>
      </c>
      <c r="O2" s="4"/>
      <c r="P2" s="4"/>
      <c r="Q2" s="4"/>
      <c r="R2" s="4"/>
      <c r="S2" s="4" t="s">
        <v>212</v>
      </c>
      <c r="T2" s="4"/>
      <c r="U2" s="4"/>
      <c r="V2" s="4"/>
      <c r="W2" s="4"/>
      <c r="X2" s="4" t="s">
        <v>213</v>
      </c>
      <c r="Y2" s="4"/>
      <c r="Z2" s="4"/>
      <c r="AA2" s="4"/>
      <c r="AB2" s="4"/>
      <c r="AC2" s="4" t="s">
        <v>214</v>
      </c>
      <c r="AD2" s="4"/>
      <c r="AE2" s="4"/>
      <c r="AF2" s="4"/>
      <c r="AG2" s="4"/>
      <c r="AH2" s="4" t="s">
        <v>215</v>
      </c>
      <c r="AI2" s="4"/>
      <c r="AJ2" s="4"/>
      <c r="AK2" s="4"/>
      <c r="AL2" s="4"/>
      <c r="AM2" s="4" t="s">
        <v>216</v>
      </c>
      <c r="AN2" s="4"/>
      <c r="AO2" s="4"/>
      <c r="AP2" s="4"/>
      <c r="AQ2" s="4"/>
      <c r="AR2" s="4" t="s">
        <v>217</v>
      </c>
      <c r="AS2" s="4"/>
      <c r="AT2" s="4"/>
      <c r="AU2" s="4"/>
      <c r="AV2" s="4"/>
      <c r="AW2" s="4" t="s">
        <v>218</v>
      </c>
      <c r="AX2" s="4"/>
      <c r="AY2" s="4"/>
      <c r="AZ2" s="4"/>
      <c r="BA2" s="4"/>
      <c r="BB2" s="4" t="s">
        <v>219</v>
      </c>
      <c r="BC2" s="4"/>
      <c r="BD2" s="4"/>
      <c r="BE2" s="4"/>
      <c r="BF2" s="4"/>
      <c r="BG2" s="4" t="s">
        <v>220</v>
      </c>
      <c r="BH2" s="4"/>
      <c r="BI2" s="4"/>
      <c r="BJ2" s="4"/>
      <c r="BK2" s="4"/>
      <c r="BL2" s="4" t="s">
        <v>221</v>
      </c>
      <c r="BM2" s="4"/>
      <c r="BN2" s="4"/>
      <c r="BO2" s="4"/>
      <c r="BP2" s="4"/>
      <c r="BQ2" s="4" t="s">
        <v>222</v>
      </c>
      <c r="BR2" s="4"/>
      <c r="BS2" s="4"/>
      <c r="BT2" s="4"/>
      <c r="BU2" s="4"/>
      <c r="BV2" s="4" t="s">
        <v>223</v>
      </c>
      <c r="BW2" s="4"/>
      <c r="BX2" s="4"/>
      <c r="BY2" s="4"/>
      <c r="BZ2" s="4"/>
      <c r="CA2" s="4" t="s">
        <v>224</v>
      </c>
      <c r="CB2" s="4"/>
      <c r="CC2" s="4"/>
      <c r="CD2" s="4"/>
      <c r="CE2" s="4"/>
      <c r="CF2" s="4" t="s">
        <v>225</v>
      </c>
      <c r="CG2" s="4"/>
      <c r="CH2" s="4"/>
      <c r="CI2" s="4"/>
      <c r="CJ2" s="4"/>
      <c r="CK2" s="4" t="s">
        <v>226</v>
      </c>
      <c r="CL2" s="4"/>
      <c r="CM2" s="4"/>
      <c r="CN2" s="4"/>
      <c r="CO2" s="4"/>
      <c r="CP2" s="4" t="s">
        <v>246</v>
      </c>
      <c r="CQ2" s="4"/>
      <c r="CR2" s="4"/>
      <c r="CS2" s="4"/>
      <c r="CT2" s="4"/>
      <c r="CU2" s="4" t="s">
        <v>243</v>
      </c>
      <c r="CV2" s="4"/>
      <c r="CW2" s="4"/>
      <c r="CX2" s="4"/>
      <c r="CY2" s="4"/>
      <c r="CZ2" s="4" t="s">
        <v>227</v>
      </c>
      <c r="DA2" s="4"/>
      <c r="DB2" s="4"/>
      <c r="DC2" s="4"/>
      <c r="DD2" s="4"/>
      <c r="DE2" s="4" t="s">
        <v>228</v>
      </c>
      <c r="DF2" s="4"/>
      <c r="DG2" s="4"/>
      <c r="DH2" s="4"/>
      <c r="DI2" s="4"/>
      <c r="DJ2" s="4" t="s">
        <v>229</v>
      </c>
      <c r="DK2" s="4"/>
      <c r="DL2" s="4"/>
      <c r="DM2" s="4"/>
      <c r="DN2" s="4"/>
      <c r="DO2" s="4" t="s">
        <v>230</v>
      </c>
      <c r="DP2" s="4"/>
      <c r="DQ2" s="4"/>
      <c r="DR2" s="4"/>
      <c r="DS2" s="4"/>
      <c r="DT2" s="4" t="s">
        <v>231</v>
      </c>
      <c r="DU2" s="4"/>
      <c r="DV2" s="4"/>
      <c r="DW2" s="4"/>
      <c r="DX2" s="4"/>
      <c r="DY2" s="4" t="s">
        <v>232</v>
      </c>
      <c r="DZ2" s="4"/>
      <c r="EA2" s="4"/>
      <c r="EB2" s="4"/>
      <c r="EC2" s="4"/>
      <c r="ED2" s="4" t="s">
        <v>233</v>
      </c>
      <c r="EE2" s="4"/>
      <c r="EF2" s="4"/>
      <c r="EG2" s="4"/>
      <c r="EH2" s="4"/>
      <c r="EI2" s="4" t="s">
        <v>234</v>
      </c>
      <c r="EJ2" s="4"/>
      <c r="EK2" s="4"/>
      <c r="EL2" s="4"/>
      <c r="EM2" s="4"/>
      <c r="EN2" s="4" t="s">
        <v>235</v>
      </c>
      <c r="EO2" s="4"/>
      <c r="EP2" s="4"/>
      <c r="EQ2" s="4"/>
      <c r="ER2" s="4"/>
      <c r="ES2" s="4" t="s">
        <v>236</v>
      </c>
      <c r="ET2" s="4"/>
      <c r="EU2" s="4"/>
      <c r="EV2" s="4"/>
      <c r="EW2" s="4"/>
      <c r="EX2" s="4" t="s">
        <v>237</v>
      </c>
      <c r="EY2" s="4"/>
      <c r="EZ2" s="4"/>
      <c r="FA2" s="4"/>
      <c r="FB2" s="4"/>
      <c r="FC2" s="4" t="s">
        <v>238</v>
      </c>
      <c r="FD2" s="4"/>
      <c r="FE2" s="4"/>
      <c r="FF2" s="4"/>
      <c r="FG2" s="4"/>
      <c r="FH2" s="4" t="s">
        <v>239</v>
      </c>
      <c r="FI2" s="4"/>
      <c r="FJ2" s="4"/>
      <c r="FK2" s="4"/>
      <c r="FL2" s="4"/>
      <c r="FM2" s="4" t="s">
        <v>240</v>
      </c>
      <c r="FN2" s="4"/>
      <c r="FO2" s="4"/>
      <c r="FP2" s="4"/>
      <c r="FQ2" s="4"/>
      <c r="FR2" s="4" t="s">
        <v>241</v>
      </c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25</v>
      </c>
      <c r="B4" s="2"/>
      <c r="C4" s="1" t="s">
        <v>94</v>
      </c>
      <c r="D4" s="1" t="s">
        <v>95</v>
      </c>
      <c r="E4" s="1" t="s">
        <v>170</v>
      </c>
      <c r="F4" s="1" t="s">
        <v>97</v>
      </c>
      <c r="G4" s="2"/>
      <c r="H4" s="1" t="s">
        <v>94</v>
      </c>
      <c r="I4" s="1" t="s">
        <v>95</v>
      </c>
      <c r="J4" s="1" t="s">
        <v>170</v>
      </c>
      <c r="K4" s="1" t="s">
        <v>97</v>
      </c>
      <c r="L4" s="2"/>
      <c r="M4" s="1" t="s">
        <v>94</v>
      </c>
      <c r="N4" s="1" t="s">
        <v>95</v>
      </c>
      <c r="O4" s="1" t="s">
        <v>170</v>
      </c>
      <c r="P4" s="1" t="s">
        <v>97</v>
      </c>
      <c r="Q4" s="2"/>
      <c r="R4" s="1" t="s">
        <v>94</v>
      </c>
      <c r="S4" s="1" t="s">
        <v>95</v>
      </c>
      <c r="T4" s="1" t="s">
        <v>170</v>
      </c>
      <c r="U4" s="1" t="s">
        <v>97</v>
      </c>
      <c r="V4" s="2"/>
      <c r="W4" s="1" t="s">
        <v>94</v>
      </c>
      <c r="X4" s="1" t="s">
        <v>95</v>
      </c>
      <c r="Y4" s="1" t="s">
        <v>170</v>
      </c>
      <c r="Z4" s="1" t="s">
        <v>97</v>
      </c>
      <c r="AA4" s="2"/>
      <c r="AB4" s="1" t="s">
        <v>94</v>
      </c>
      <c r="AC4" s="1" t="s">
        <v>95</v>
      </c>
      <c r="AD4" s="1" t="s">
        <v>170</v>
      </c>
      <c r="AE4" s="1" t="s">
        <v>97</v>
      </c>
      <c r="AF4" s="2"/>
      <c r="AG4" s="1" t="s">
        <v>94</v>
      </c>
      <c r="AH4" s="1" t="s">
        <v>95</v>
      </c>
      <c r="AI4" s="1" t="s">
        <v>170</v>
      </c>
      <c r="AJ4" s="1" t="s">
        <v>97</v>
      </c>
      <c r="AK4" s="2"/>
      <c r="AL4" s="1" t="s">
        <v>94</v>
      </c>
      <c r="AM4" s="1" t="s">
        <v>95</v>
      </c>
      <c r="AN4" s="1" t="s">
        <v>170</v>
      </c>
      <c r="AO4" s="1" t="s">
        <v>97</v>
      </c>
      <c r="AP4" s="2"/>
      <c r="AQ4" s="1" t="s">
        <v>94</v>
      </c>
      <c r="AR4" s="1" t="s">
        <v>95</v>
      </c>
      <c r="AS4" s="1" t="s">
        <v>170</v>
      </c>
      <c r="AT4" s="1" t="s">
        <v>97</v>
      </c>
      <c r="AU4" s="2"/>
      <c r="AV4" s="1" t="s">
        <v>94</v>
      </c>
      <c r="AW4" s="1" t="s">
        <v>95</v>
      </c>
      <c r="AX4" s="1" t="s">
        <v>170</v>
      </c>
      <c r="AY4" s="1" t="s">
        <v>97</v>
      </c>
      <c r="AZ4" s="2"/>
      <c r="BA4" s="1" t="s">
        <v>94</v>
      </c>
      <c r="BB4" s="1" t="s">
        <v>95</v>
      </c>
      <c r="BC4" s="1" t="s">
        <v>170</v>
      </c>
      <c r="BD4" s="1" t="s">
        <v>97</v>
      </c>
      <c r="BE4" s="2"/>
      <c r="BF4" s="1" t="s">
        <v>94</v>
      </c>
      <c r="BG4" s="1" t="s">
        <v>95</v>
      </c>
      <c r="BH4" s="1" t="s">
        <v>170</v>
      </c>
      <c r="BI4" s="1" t="s">
        <v>97</v>
      </c>
      <c r="BJ4" s="2"/>
      <c r="BK4" s="1" t="s">
        <v>94</v>
      </c>
      <c r="BL4" s="1" t="s">
        <v>95</v>
      </c>
      <c r="BM4" s="1" t="s">
        <v>170</v>
      </c>
      <c r="BN4" s="1" t="s">
        <v>97</v>
      </c>
      <c r="BO4" s="2"/>
      <c r="BP4" s="1" t="s">
        <v>94</v>
      </c>
      <c r="BQ4" s="1" t="s">
        <v>95</v>
      </c>
      <c r="BR4" s="1" t="s">
        <v>170</v>
      </c>
      <c r="BS4" s="1" t="s">
        <v>97</v>
      </c>
      <c r="BT4" s="2"/>
      <c r="BU4" s="1" t="s">
        <v>94</v>
      </c>
      <c r="BV4" s="1" t="s">
        <v>95</v>
      </c>
      <c r="BW4" s="1" t="s">
        <v>170</v>
      </c>
      <c r="BX4" s="1" t="s">
        <v>97</v>
      </c>
      <c r="BY4" s="2"/>
      <c r="BZ4" s="1" t="s">
        <v>94</v>
      </c>
      <c r="CA4" s="1" t="s">
        <v>95</v>
      </c>
      <c r="CB4" s="1" t="s">
        <v>170</v>
      </c>
      <c r="CC4" s="1" t="s">
        <v>97</v>
      </c>
      <c r="CD4" s="2"/>
      <c r="CE4" s="1" t="s">
        <v>94</v>
      </c>
      <c r="CF4" s="1" t="s">
        <v>95</v>
      </c>
      <c r="CG4" s="1" t="s">
        <v>170</v>
      </c>
      <c r="CH4" s="1" t="s">
        <v>97</v>
      </c>
      <c r="CI4" s="2"/>
      <c r="CJ4" s="1" t="s">
        <v>94</v>
      </c>
      <c r="CK4" s="1" t="s">
        <v>95</v>
      </c>
      <c r="CL4" s="1" t="s">
        <v>170</v>
      </c>
      <c r="CM4" s="1" t="s">
        <v>97</v>
      </c>
      <c r="CN4" s="2"/>
      <c r="CO4" s="1" t="s">
        <v>94</v>
      </c>
      <c r="CP4" s="1" t="s">
        <v>95</v>
      </c>
      <c r="CQ4" s="1" t="s">
        <v>170</v>
      </c>
      <c r="CR4" s="1" t="s">
        <v>97</v>
      </c>
      <c r="CS4" s="2"/>
      <c r="CT4" s="1" t="s">
        <v>94</v>
      </c>
      <c r="CU4" s="1" t="s">
        <v>95</v>
      </c>
      <c r="CV4" s="1" t="s">
        <v>170</v>
      </c>
      <c r="CW4" s="1" t="s">
        <v>97</v>
      </c>
      <c r="CX4" s="2"/>
      <c r="CY4" s="1" t="s">
        <v>94</v>
      </c>
      <c r="CZ4" s="1" t="s">
        <v>95</v>
      </c>
      <c r="DA4" s="1" t="s">
        <v>170</v>
      </c>
      <c r="DB4" s="1" t="s">
        <v>97</v>
      </c>
      <c r="DC4" s="2"/>
      <c r="DD4" s="1" t="s">
        <v>94</v>
      </c>
      <c r="DE4" s="1" t="s">
        <v>95</v>
      </c>
      <c r="DF4" s="1" t="s">
        <v>170</v>
      </c>
      <c r="DG4" s="1" t="s">
        <v>97</v>
      </c>
      <c r="DH4" s="2"/>
      <c r="DI4" s="1" t="s">
        <v>94</v>
      </c>
      <c r="DJ4" s="1" t="s">
        <v>95</v>
      </c>
      <c r="DK4" s="1" t="s">
        <v>170</v>
      </c>
      <c r="DL4" s="1" t="s">
        <v>97</v>
      </c>
      <c r="DM4" s="2"/>
      <c r="DN4" s="1" t="s">
        <v>94</v>
      </c>
      <c r="DO4" s="1" t="s">
        <v>95</v>
      </c>
      <c r="DP4" s="1" t="s">
        <v>170</v>
      </c>
      <c r="DQ4" s="1" t="s">
        <v>97</v>
      </c>
      <c r="DR4" s="2"/>
      <c r="DS4" s="1" t="s">
        <v>94</v>
      </c>
      <c r="DT4" s="1" t="s">
        <v>95</v>
      </c>
      <c r="DU4" s="1" t="s">
        <v>170</v>
      </c>
      <c r="DV4" s="1" t="s">
        <v>97</v>
      </c>
      <c r="DW4" s="2"/>
      <c r="DX4" s="1" t="s">
        <v>94</v>
      </c>
      <c r="DY4" s="1" t="s">
        <v>95</v>
      </c>
      <c r="DZ4" s="1" t="s">
        <v>170</v>
      </c>
      <c r="EA4" s="1" t="s">
        <v>97</v>
      </c>
      <c r="EB4" s="2"/>
      <c r="EC4" s="1" t="s">
        <v>94</v>
      </c>
      <c r="ED4" s="1" t="s">
        <v>95</v>
      </c>
      <c r="EE4" s="1" t="s">
        <v>170</v>
      </c>
      <c r="EF4" s="1" t="s">
        <v>97</v>
      </c>
      <c r="EG4" s="2"/>
      <c r="EH4" s="1" t="s">
        <v>94</v>
      </c>
      <c r="EI4" s="1" t="s">
        <v>95</v>
      </c>
      <c r="EJ4" s="1" t="s">
        <v>170</v>
      </c>
      <c r="EK4" s="1" t="s">
        <v>97</v>
      </c>
      <c r="EL4" s="2"/>
      <c r="EM4" s="1" t="s">
        <v>94</v>
      </c>
      <c r="EN4" s="1" t="s">
        <v>95</v>
      </c>
      <c r="EO4" s="1" t="s">
        <v>170</v>
      </c>
      <c r="EP4" s="1" t="s">
        <v>97</v>
      </c>
      <c r="EQ4" s="2"/>
      <c r="ER4" s="1" t="s">
        <v>94</v>
      </c>
      <c r="ES4" s="1" t="s">
        <v>95</v>
      </c>
      <c r="ET4" s="1" t="s">
        <v>170</v>
      </c>
      <c r="EU4" s="1" t="s">
        <v>97</v>
      </c>
      <c r="EV4" s="2"/>
      <c r="EW4" s="1" t="s">
        <v>94</v>
      </c>
      <c r="EX4" s="1" t="s">
        <v>95</v>
      </c>
      <c r="EY4" s="1" t="s">
        <v>170</v>
      </c>
      <c r="EZ4" s="1" t="s">
        <v>97</v>
      </c>
      <c r="FA4" s="2"/>
      <c r="FB4" s="1" t="s">
        <v>94</v>
      </c>
      <c r="FC4" s="1" t="s">
        <v>95</v>
      </c>
      <c r="FD4" s="1" t="s">
        <v>170</v>
      </c>
      <c r="FE4" s="1" t="s">
        <v>97</v>
      </c>
      <c r="FF4" s="2"/>
      <c r="FG4" s="1" t="s">
        <v>94</v>
      </c>
      <c r="FH4" s="1" t="s">
        <v>95</v>
      </c>
      <c r="FI4" s="1" t="s">
        <v>170</v>
      </c>
      <c r="FJ4" s="1" t="s">
        <v>97</v>
      </c>
      <c r="FK4" s="2"/>
      <c r="FL4" s="1" t="s">
        <v>94</v>
      </c>
      <c r="FM4" s="1" t="s">
        <v>95</v>
      </c>
      <c r="FN4" s="1" t="s">
        <v>170</v>
      </c>
      <c r="FO4" s="1" t="s">
        <v>97</v>
      </c>
      <c r="FP4" s="2"/>
      <c r="FQ4" s="1" t="s">
        <v>94</v>
      </c>
      <c r="FR4" s="1" t="s">
        <v>95</v>
      </c>
      <c r="FS4" s="1" t="s">
        <v>170</v>
      </c>
      <c r="FT4" s="1" t="s">
        <v>97</v>
      </c>
      <c r="FU4" s="2"/>
      <c r="FV4" s="1" t="s">
        <v>94</v>
      </c>
      <c r="FW4" s="1" t="s">
        <v>95</v>
      </c>
      <c r="FX4" s="1" t="s">
        <v>170</v>
      </c>
      <c r="FY4" s="1" t="s">
        <v>97</v>
      </c>
      <c r="FZ4" s="2"/>
      <c r="GA4" s="1" t="s">
        <v>94</v>
      </c>
      <c r="GB4" s="1" t="s">
        <v>95</v>
      </c>
      <c r="GC4" s="1" t="s">
        <v>170</v>
      </c>
      <c r="GD4" s="1" t="s">
        <v>97</v>
      </c>
      <c r="GE4" s="3"/>
    </row>
    <row r="5" spans="1:187" x14ac:dyDescent="0.25">
      <c r="A5" s="1" t="s">
        <v>26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28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27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29</v>
      </c>
      <c r="B8" s="2"/>
      <c r="C8" s="1">
        <f t="shared" si="0"/>
        <v>0</v>
      </c>
      <c r="D8" s="1">
        <f t="shared" si="1"/>
        <v>0</v>
      </c>
      <c r="E8" s="1">
        <f t="shared" si="2"/>
        <v>0</v>
      </c>
      <c r="F8" s="1" t="str">
        <f t="shared" si="3"/>
        <v>0%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0</v>
      </c>
      <c r="X8" s="1">
        <v>0</v>
      </c>
      <c r="Y8" s="1">
        <v>0</v>
      </c>
      <c r="Z8" s="1" t="str">
        <f t="shared" si="11"/>
        <v>0%</v>
      </c>
      <c r="AA8" s="2"/>
      <c r="AB8" s="1">
        <f t="shared" si="12"/>
        <v>0</v>
      </c>
      <c r="AC8" s="1">
        <v>0</v>
      </c>
      <c r="AD8" s="1">
        <v>0</v>
      </c>
      <c r="AE8" s="1" t="str">
        <f t="shared" si="13"/>
        <v>0%</v>
      </c>
      <c r="AF8" s="2"/>
      <c r="AG8" s="1">
        <f t="shared" si="14"/>
        <v>0</v>
      </c>
      <c r="AH8" s="1">
        <v>0</v>
      </c>
      <c r="AI8" s="1">
        <v>0</v>
      </c>
      <c r="AJ8" s="1" t="str">
        <f t="shared" si="15"/>
        <v>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0</v>
      </c>
      <c r="FC8" s="1">
        <v>0</v>
      </c>
      <c r="FD8" s="1">
        <v>0</v>
      </c>
      <c r="FE8" s="1" t="str">
        <f t="shared" si="65"/>
        <v>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30</v>
      </c>
      <c r="B9" s="2"/>
      <c r="C9" s="1">
        <f t="shared" si="0"/>
        <v>3</v>
      </c>
      <c r="D9" s="1">
        <f t="shared" si="1"/>
        <v>3</v>
      </c>
      <c r="E9" s="1">
        <f t="shared" si="2"/>
        <v>0</v>
      </c>
      <c r="F9" s="1" t="str">
        <f t="shared" si="3"/>
        <v>100%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1</v>
      </c>
      <c r="S9" s="1">
        <v>1</v>
      </c>
      <c r="T9" s="1">
        <v>0</v>
      </c>
      <c r="U9" s="1" t="str">
        <f t="shared" si="9"/>
        <v>100%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0</v>
      </c>
      <c r="AC9" s="1">
        <v>0</v>
      </c>
      <c r="AD9" s="1">
        <v>0</v>
      </c>
      <c r="AE9" s="1" t="str">
        <f t="shared" si="13"/>
        <v>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0</v>
      </c>
      <c r="FC9" s="1">
        <v>0</v>
      </c>
      <c r="FD9" s="1">
        <v>0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31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32</v>
      </c>
      <c r="B11" s="2"/>
      <c r="C11" s="1">
        <f t="shared" si="0"/>
        <v>2</v>
      </c>
      <c r="D11" s="1">
        <f t="shared" si="1"/>
        <v>2</v>
      </c>
      <c r="E11" s="1">
        <f t="shared" si="2"/>
        <v>0</v>
      </c>
      <c r="F11" s="1" t="str">
        <f t="shared" si="3"/>
        <v>100%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1</v>
      </c>
      <c r="S11" s="1">
        <v>1</v>
      </c>
      <c r="T11" s="1">
        <v>0</v>
      </c>
      <c r="U11" s="1" t="str">
        <f t="shared" si="9"/>
        <v>100%</v>
      </c>
      <c r="V11" s="2"/>
      <c r="W11" s="1">
        <f t="shared" si="10"/>
        <v>0</v>
      </c>
      <c r="X11" s="1">
        <v>0</v>
      </c>
      <c r="Y11" s="1">
        <v>0</v>
      </c>
      <c r="Z11" s="1" t="str">
        <f t="shared" si="11"/>
        <v>0%</v>
      </c>
      <c r="AA11" s="2"/>
      <c r="AB11" s="1">
        <f t="shared" si="12"/>
        <v>0</v>
      </c>
      <c r="AC11" s="1">
        <v>0</v>
      </c>
      <c r="AD11" s="1">
        <v>0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0</v>
      </c>
      <c r="FR11" s="1">
        <v>0</v>
      </c>
      <c r="FS11" s="1">
        <v>0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33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34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35</v>
      </c>
      <c r="B14" s="2"/>
      <c r="C14" s="1">
        <f t="shared" si="0"/>
        <v>0</v>
      </c>
      <c r="D14" s="1">
        <f t="shared" si="1"/>
        <v>0</v>
      </c>
      <c r="E14" s="1">
        <f t="shared" si="2"/>
        <v>0</v>
      </c>
      <c r="F14" s="1" t="str">
        <f t="shared" si="3"/>
        <v>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0</v>
      </c>
      <c r="X14" s="1">
        <v>0</v>
      </c>
      <c r="Y14" s="1">
        <v>0</v>
      </c>
      <c r="Z14" s="1" t="str">
        <f t="shared" si="11"/>
        <v>0%</v>
      </c>
      <c r="AA14" s="2"/>
      <c r="AB14" s="1">
        <f t="shared" si="12"/>
        <v>0</v>
      </c>
      <c r="AC14" s="1">
        <v>0</v>
      </c>
      <c r="AD14" s="1">
        <v>0</v>
      </c>
      <c r="AE14" s="1" t="str">
        <f t="shared" si="13"/>
        <v>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0</v>
      </c>
      <c r="FR14" s="1">
        <v>0</v>
      </c>
      <c r="FS14" s="1">
        <v>0</v>
      </c>
      <c r="FT14" s="1" t="str">
        <f t="shared" si="71"/>
        <v>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248</v>
      </c>
      <c r="B15" s="2"/>
      <c r="C15" s="1">
        <f t="shared" si="0"/>
        <v>0</v>
      </c>
      <c r="D15" s="1">
        <f t="shared" si="1"/>
        <v>0</v>
      </c>
      <c r="E15" s="1">
        <f t="shared" si="2"/>
        <v>0</v>
      </c>
      <c r="F15" s="1" t="str">
        <f t="shared" si="3"/>
        <v>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0</v>
      </c>
      <c r="AH15" s="1">
        <v>0</v>
      </c>
      <c r="AI15" s="1">
        <v>0</v>
      </c>
      <c r="AJ15" s="1" t="str">
        <f t="shared" si="15"/>
        <v>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36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37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38</v>
      </c>
      <c r="B18" s="2"/>
      <c r="C18" s="1">
        <f t="shared" si="0"/>
        <v>1</v>
      </c>
      <c r="D18" s="1">
        <f t="shared" si="1"/>
        <v>1</v>
      </c>
      <c r="E18" s="1">
        <f t="shared" si="2"/>
        <v>0</v>
      </c>
      <c r="F18" s="1" t="str">
        <f t="shared" si="3"/>
        <v>100%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0</v>
      </c>
      <c r="AC18" s="1">
        <v>0</v>
      </c>
      <c r="AD18" s="1">
        <v>0</v>
      </c>
      <c r="AE18" s="1" t="str">
        <f t="shared" si="13"/>
        <v>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0</v>
      </c>
      <c r="AR18" s="1">
        <v>0</v>
      </c>
      <c r="AS18" s="1">
        <v>0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39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40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41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42</v>
      </c>
      <c r="B22" s="2"/>
      <c r="C22" s="1">
        <f t="shared" si="0"/>
        <v>10</v>
      </c>
      <c r="D22" s="1">
        <f t="shared" si="1"/>
        <v>10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2</v>
      </c>
      <c r="X22" s="1">
        <v>2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43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44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45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46</v>
      </c>
      <c r="B26" s="2"/>
      <c r="C26" s="1">
        <f t="shared" si="0"/>
        <v>4</v>
      </c>
      <c r="D26" s="1">
        <f t="shared" si="1"/>
        <v>1</v>
      </c>
      <c r="E26" s="1">
        <f t="shared" si="2"/>
        <v>3</v>
      </c>
      <c r="F26" s="1" t="str">
        <f t="shared" si="3"/>
        <v>25%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0</v>
      </c>
      <c r="AH26" s="1">
        <v>0</v>
      </c>
      <c r="AI26" s="1">
        <v>0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47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48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53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49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50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51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52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54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55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56</v>
      </c>
      <c r="B36" s="2"/>
      <c r="C36" s="1">
        <f t="shared" si="0"/>
        <v>1</v>
      </c>
      <c r="D36" s="1">
        <f t="shared" si="1"/>
        <v>1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0</v>
      </c>
      <c r="AC36" s="1">
        <v>0</v>
      </c>
      <c r="AD36" s="1">
        <v>0</v>
      </c>
      <c r="AE36" s="1" t="str">
        <f t="shared" si="13"/>
        <v>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57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58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59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60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61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62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63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64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65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66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67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68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69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70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71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72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73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74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75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184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76</v>
      </c>
      <c r="B57" s="2"/>
      <c r="C57" s="1">
        <f t="shared" si="152"/>
        <v>1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0</v>
      </c>
      <c r="F57" s="1" t="str">
        <f t="shared" si="79"/>
        <v>100%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0</v>
      </c>
      <c r="AH57" s="1">
        <v>0</v>
      </c>
      <c r="AI57" s="1">
        <v>0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77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78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79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80</v>
      </c>
      <c r="B61" s="2"/>
      <c r="C61" s="1">
        <f t="shared" si="152"/>
        <v>1</v>
      </c>
      <c r="D61" s="1">
        <f t="shared" si="153"/>
        <v>1</v>
      </c>
      <c r="E61" s="1">
        <f t="shared" si="154"/>
        <v>0</v>
      </c>
      <c r="F61" s="1" t="str">
        <f t="shared" si="79"/>
        <v>100%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0</v>
      </c>
      <c r="AC61" s="1">
        <v>0</v>
      </c>
      <c r="AD61" s="1">
        <v>0</v>
      </c>
      <c r="AE61" s="1" t="str">
        <f t="shared" si="89"/>
        <v>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0</v>
      </c>
      <c r="AM61" s="1">
        <v>0</v>
      </c>
      <c r="AN61" s="1">
        <v>0</v>
      </c>
      <c r="AO61" s="1" t="str">
        <f t="shared" si="93"/>
        <v>0%</v>
      </c>
      <c r="AP61" s="2"/>
      <c r="AQ61" s="1">
        <f t="shared" si="94"/>
        <v>0</v>
      </c>
      <c r="AR61" s="1">
        <v>0</v>
      </c>
      <c r="AS61" s="1">
        <v>0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81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82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83</v>
      </c>
      <c r="B64" s="2"/>
      <c r="C64" s="1">
        <f t="shared" si="152"/>
        <v>3</v>
      </c>
      <c r="D64" s="1">
        <f t="shared" si="153"/>
        <v>1</v>
      </c>
      <c r="E64" s="1">
        <f t="shared" si="154"/>
        <v>2</v>
      </c>
      <c r="F64" s="1" t="str">
        <f t="shared" si="79"/>
        <v>33.33%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0</v>
      </c>
      <c r="X64" s="1">
        <v>0</v>
      </c>
      <c r="Y64" s="1">
        <v>0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84</v>
      </c>
      <c r="B65" s="2"/>
      <c r="C65" s="1">
        <f t="shared" si="152"/>
        <v>0</v>
      </c>
      <c r="D65" s="1">
        <f t="shared" si="153"/>
        <v>0</v>
      </c>
      <c r="E65" s="1">
        <f t="shared" si="154"/>
        <v>0</v>
      </c>
      <c r="F65" s="1" t="str">
        <f t="shared" si="79"/>
        <v>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0</v>
      </c>
      <c r="S65" s="1">
        <v>0</v>
      </c>
      <c r="T65" s="1">
        <v>0</v>
      </c>
      <c r="U65" s="1" t="str">
        <f t="shared" si="85"/>
        <v>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85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86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87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88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89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90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91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92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175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203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 t="shared" si="155"/>
        <v>70.11%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11</v>
      </c>
      <c r="S75" s="1">
        <f>SUM(S5:S74)</f>
        <v>8</v>
      </c>
      <c r="T75" s="1">
        <f>SUM(T5:T74)</f>
        <v>3</v>
      </c>
      <c r="U75" s="1" t="str">
        <f t="shared" si="161"/>
        <v>72.73%</v>
      </c>
      <c r="V75" s="2"/>
      <c r="W75" s="1">
        <f t="shared" si="162"/>
        <v>13</v>
      </c>
      <c r="X75" s="1">
        <f>SUM(X5:X74)</f>
        <v>10</v>
      </c>
      <c r="Y75" s="1">
        <f>SUM(Y5:Y74)</f>
        <v>3</v>
      </c>
      <c r="Z75" s="1" t="str">
        <f t="shared" si="163"/>
        <v>76.92%</v>
      </c>
      <c r="AA75" s="2"/>
      <c r="AB75" s="1">
        <f t="shared" si="164"/>
        <v>11</v>
      </c>
      <c r="AC75" s="1">
        <f>SUM(AC5:AC74)</f>
        <v>7</v>
      </c>
      <c r="AD75" s="1">
        <f>SUM(AD5:AD74)</f>
        <v>4</v>
      </c>
      <c r="AE75" s="1" t="str">
        <f t="shared" si="165"/>
        <v>63.64%</v>
      </c>
      <c r="AF75" s="2"/>
      <c r="AG75" s="1">
        <f t="shared" si="166"/>
        <v>11</v>
      </c>
      <c r="AH75" s="1">
        <f>SUM(AH5:AH74)</f>
        <v>10</v>
      </c>
      <c r="AI75" s="1">
        <f>SUM(AI5:AI74)</f>
        <v>1</v>
      </c>
      <c r="AJ75" s="1" t="str">
        <f t="shared" si="167"/>
        <v>90.91%</v>
      </c>
      <c r="AK75" s="2"/>
      <c r="AL75" s="1">
        <f t="shared" si="168"/>
        <v>8</v>
      </c>
      <c r="AM75" s="1">
        <f>SUM(AM5:AM74)</f>
        <v>7</v>
      </c>
      <c r="AN75" s="1">
        <f>SUM(AN5:AN74)</f>
        <v>1</v>
      </c>
      <c r="AO75" s="1" t="str">
        <f t="shared" si="169"/>
        <v>87.5%</v>
      </c>
      <c r="AP75" s="2"/>
      <c r="AQ75" s="1">
        <f t="shared" si="170"/>
        <v>4</v>
      </c>
      <c r="AR75" s="1">
        <f>SUM(AR5:AR74)</f>
        <v>1</v>
      </c>
      <c r="AS75" s="1">
        <f>SUM(AS5:AS74)</f>
        <v>3</v>
      </c>
      <c r="AT75" s="1" t="str">
        <f t="shared" si="171"/>
        <v>25%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0</v>
      </c>
      <c r="FC75" s="1">
        <f>SUM(FC5:FC74)</f>
        <v>0</v>
      </c>
      <c r="FD75" s="1">
        <f>SUM(FD5:FD74)</f>
        <v>0</v>
      </c>
      <c r="FE75" s="1" t="str">
        <f t="shared" si="217"/>
        <v>0%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0</v>
      </c>
      <c r="FR75" s="1">
        <f>SUM(FR5:FR74)</f>
        <v>0</v>
      </c>
      <c r="FS75" s="1">
        <f>SUM(FS5:FS74)</f>
        <v>0</v>
      </c>
      <c r="FT75" s="1" t="str">
        <f t="shared" si="223"/>
        <v>0%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98</v>
      </c>
      <c r="B78" s="5"/>
      <c r="C78" s="2" t="s">
        <v>94</v>
      </c>
      <c r="D78" s="2" t="s">
        <v>95</v>
      </c>
      <c r="E78" s="2" t="s">
        <v>170</v>
      </c>
      <c r="F78" s="2" t="s">
        <v>97</v>
      </c>
      <c r="G78" s="5"/>
      <c r="H78" s="2" t="s">
        <v>94</v>
      </c>
      <c r="I78" s="2" t="s">
        <v>95</v>
      </c>
      <c r="J78" s="2" t="s">
        <v>170</v>
      </c>
      <c r="K78" s="2" t="s">
        <v>97</v>
      </c>
      <c r="L78" s="5"/>
      <c r="M78" s="2" t="s">
        <v>96</v>
      </c>
      <c r="N78" s="2" t="s">
        <v>95</v>
      </c>
      <c r="O78" s="2" t="s">
        <v>170</v>
      </c>
      <c r="P78" s="2" t="s">
        <v>97</v>
      </c>
      <c r="Q78" s="5"/>
      <c r="R78" s="2" t="s">
        <v>94</v>
      </c>
      <c r="S78" s="2" t="s">
        <v>95</v>
      </c>
      <c r="T78" s="2" t="s">
        <v>170</v>
      </c>
      <c r="U78" s="2" t="s">
        <v>97</v>
      </c>
      <c r="V78" s="5"/>
      <c r="W78" s="2" t="s">
        <v>94</v>
      </c>
      <c r="X78" s="2" t="s">
        <v>95</v>
      </c>
      <c r="Y78" s="2" t="s">
        <v>170</v>
      </c>
      <c r="Z78" s="2" t="s">
        <v>97</v>
      </c>
      <c r="AA78" s="5"/>
      <c r="AB78" s="2" t="s">
        <v>94</v>
      </c>
      <c r="AC78" s="2" t="s">
        <v>95</v>
      </c>
      <c r="AD78" s="2" t="s">
        <v>170</v>
      </c>
      <c r="AE78" s="2" t="s">
        <v>97</v>
      </c>
      <c r="AF78" s="5"/>
      <c r="AG78" s="2" t="s">
        <v>94</v>
      </c>
      <c r="AH78" s="2" t="s">
        <v>95</v>
      </c>
      <c r="AI78" s="2" t="s">
        <v>170</v>
      </c>
      <c r="AJ78" s="2" t="s">
        <v>97</v>
      </c>
      <c r="AK78" s="5"/>
      <c r="AL78" s="2" t="s">
        <v>94</v>
      </c>
      <c r="AM78" s="2" t="s">
        <v>95</v>
      </c>
      <c r="AN78" s="2" t="s">
        <v>170</v>
      </c>
      <c r="AO78" s="2" t="s">
        <v>97</v>
      </c>
      <c r="AP78" s="5"/>
      <c r="AQ78" s="2" t="s">
        <v>94</v>
      </c>
      <c r="AR78" s="2" t="s">
        <v>95</v>
      </c>
      <c r="AS78" s="2" t="s">
        <v>170</v>
      </c>
      <c r="AT78" s="2" t="s">
        <v>97</v>
      </c>
      <c r="AU78" s="5"/>
      <c r="AV78" s="2" t="s">
        <v>94</v>
      </c>
      <c r="AW78" s="2" t="s">
        <v>95</v>
      </c>
      <c r="AX78" s="2" t="s">
        <v>170</v>
      </c>
      <c r="AY78" s="2" t="s">
        <v>97</v>
      </c>
      <c r="AZ78" s="5"/>
      <c r="BA78" s="2" t="s">
        <v>94</v>
      </c>
      <c r="BB78" s="2" t="s">
        <v>95</v>
      </c>
      <c r="BC78" s="2" t="s">
        <v>170</v>
      </c>
      <c r="BD78" s="2" t="s">
        <v>97</v>
      </c>
      <c r="BE78" s="5"/>
      <c r="BF78" s="2" t="s">
        <v>94</v>
      </c>
      <c r="BG78" s="2" t="s">
        <v>95</v>
      </c>
      <c r="BH78" s="2" t="s">
        <v>170</v>
      </c>
      <c r="BI78" s="2" t="s">
        <v>97</v>
      </c>
      <c r="BJ78" s="5"/>
      <c r="BK78" s="2" t="s">
        <v>94</v>
      </c>
      <c r="BL78" s="2" t="s">
        <v>95</v>
      </c>
      <c r="BM78" s="2" t="s">
        <v>170</v>
      </c>
      <c r="BN78" s="2" t="s">
        <v>97</v>
      </c>
      <c r="BO78" s="5"/>
      <c r="BP78" s="2" t="s">
        <v>94</v>
      </c>
      <c r="BQ78" s="2" t="s">
        <v>95</v>
      </c>
      <c r="BR78" s="2" t="s">
        <v>170</v>
      </c>
      <c r="BS78" s="2" t="s">
        <v>97</v>
      </c>
      <c r="BT78" s="5"/>
      <c r="BU78" s="2" t="s">
        <v>94</v>
      </c>
      <c r="BV78" s="2" t="s">
        <v>95</v>
      </c>
      <c r="BW78" s="2" t="s">
        <v>170</v>
      </c>
      <c r="BX78" s="2" t="s">
        <v>97</v>
      </c>
      <c r="BY78" s="5"/>
      <c r="BZ78" s="2" t="s">
        <v>94</v>
      </c>
      <c r="CA78" s="2" t="s">
        <v>95</v>
      </c>
      <c r="CB78" s="2" t="s">
        <v>170</v>
      </c>
      <c r="CC78" s="2" t="s">
        <v>97</v>
      </c>
      <c r="CD78" s="5"/>
      <c r="CE78" s="2" t="s">
        <v>94</v>
      </c>
      <c r="CF78" s="2" t="s">
        <v>95</v>
      </c>
      <c r="CG78" s="2" t="s">
        <v>170</v>
      </c>
      <c r="CH78" s="2" t="s">
        <v>97</v>
      </c>
      <c r="CI78" s="5"/>
      <c r="CJ78" s="2" t="s">
        <v>94</v>
      </c>
      <c r="CK78" s="2" t="s">
        <v>95</v>
      </c>
      <c r="CL78" s="2" t="s">
        <v>170</v>
      </c>
      <c r="CM78" s="2" t="s">
        <v>97</v>
      </c>
      <c r="CN78" s="5"/>
      <c r="CO78" s="2" t="s">
        <v>94</v>
      </c>
      <c r="CP78" s="2" t="s">
        <v>95</v>
      </c>
      <c r="CQ78" s="2" t="s">
        <v>170</v>
      </c>
      <c r="CR78" s="2" t="s">
        <v>97</v>
      </c>
      <c r="CS78" s="5"/>
      <c r="CT78" s="2" t="s">
        <v>94</v>
      </c>
      <c r="CU78" s="2" t="s">
        <v>95</v>
      </c>
      <c r="CV78" s="2" t="s">
        <v>170</v>
      </c>
      <c r="CW78" s="2" t="s">
        <v>97</v>
      </c>
      <c r="CX78" s="5"/>
      <c r="CY78" s="2" t="s">
        <v>94</v>
      </c>
      <c r="CZ78" s="2" t="s">
        <v>95</v>
      </c>
      <c r="DA78" s="2" t="s">
        <v>170</v>
      </c>
      <c r="DB78" s="2" t="s">
        <v>97</v>
      </c>
      <c r="DC78" s="5"/>
      <c r="DD78" s="2" t="s">
        <v>94</v>
      </c>
      <c r="DE78" s="2" t="s">
        <v>95</v>
      </c>
      <c r="DF78" s="2" t="s">
        <v>170</v>
      </c>
      <c r="DG78" s="2" t="s">
        <v>97</v>
      </c>
      <c r="DH78" s="5"/>
      <c r="DI78" s="2" t="s">
        <v>94</v>
      </c>
      <c r="DJ78" s="2" t="s">
        <v>95</v>
      </c>
      <c r="DK78" s="2" t="s">
        <v>170</v>
      </c>
      <c r="DL78" s="2" t="s">
        <v>97</v>
      </c>
      <c r="DM78" s="5"/>
      <c r="DN78" s="2" t="s">
        <v>94</v>
      </c>
      <c r="DO78" s="2" t="s">
        <v>95</v>
      </c>
      <c r="DP78" s="2" t="s">
        <v>170</v>
      </c>
      <c r="DQ78" s="2" t="s">
        <v>97</v>
      </c>
      <c r="DR78" s="5"/>
      <c r="DS78" s="2" t="s">
        <v>94</v>
      </c>
      <c r="DT78" s="2" t="s">
        <v>95</v>
      </c>
      <c r="DU78" s="2" t="s">
        <v>170</v>
      </c>
      <c r="DV78" s="2" t="s">
        <v>97</v>
      </c>
      <c r="DW78" s="5"/>
      <c r="DX78" s="2" t="s">
        <v>94</v>
      </c>
      <c r="DY78" s="2" t="s">
        <v>95</v>
      </c>
      <c r="DZ78" s="2" t="s">
        <v>170</v>
      </c>
      <c r="EA78" s="2" t="s">
        <v>97</v>
      </c>
      <c r="EB78" s="5"/>
      <c r="EC78" s="2" t="s">
        <v>94</v>
      </c>
      <c r="ED78" s="2" t="s">
        <v>95</v>
      </c>
      <c r="EE78" s="2" t="s">
        <v>170</v>
      </c>
      <c r="EF78" s="2" t="s">
        <v>97</v>
      </c>
      <c r="EG78" s="5"/>
      <c r="EH78" s="2" t="s">
        <v>94</v>
      </c>
      <c r="EI78" s="2" t="s">
        <v>95</v>
      </c>
      <c r="EJ78" s="2" t="s">
        <v>170</v>
      </c>
      <c r="EK78" s="2" t="s">
        <v>97</v>
      </c>
      <c r="EL78" s="5"/>
      <c r="EM78" s="2" t="s">
        <v>94</v>
      </c>
      <c r="EN78" s="2" t="s">
        <v>95</v>
      </c>
      <c r="EO78" s="2" t="s">
        <v>170</v>
      </c>
      <c r="EP78" s="2" t="s">
        <v>97</v>
      </c>
      <c r="EQ78" s="5"/>
      <c r="ER78" s="2" t="s">
        <v>94</v>
      </c>
      <c r="ES78" s="2" t="s">
        <v>95</v>
      </c>
      <c r="ET78" s="2" t="s">
        <v>170</v>
      </c>
      <c r="EU78" s="2" t="s">
        <v>97</v>
      </c>
      <c r="EV78" s="5"/>
      <c r="EW78" s="2" t="s">
        <v>94</v>
      </c>
      <c r="EX78" s="2" t="s">
        <v>95</v>
      </c>
      <c r="EY78" s="2" t="s">
        <v>170</v>
      </c>
      <c r="EZ78" s="2" t="s">
        <v>97</v>
      </c>
      <c r="FA78" s="5"/>
      <c r="FB78" s="2" t="s">
        <v>94</v>
      </c>
      <c r="FC78" s="2" t="s">
        <v>95</v>
      </c>
      <c r="FD78" s="2" t="s">
        <v>170</v>
      </c>
      <c r="FE78" s="2" t="s">
        <v>97</v>
      </c>
      <c r="FF78" s="5"/>
      <c r="FG78" s="2" t="s">
        <v>94</v>
      </c>
      <c r="FH78" s="2" t="s">
        <v>95</v>
      </c>
      <c r="FI78" s="2" t="s">
        <v>170</v>
      </c>
      <c r="FJ78" s="2" t="s">
        <v>97</v>
      </c>
      <c r="FK78" s="5"/>
      <c r="FL78" s="2" t="s">
        <v>94</v>
      </c>
      <c r="FM78" s="2" t="s">
        <v>95</v>
      </c>
      <c r="FN78" s="2" t="s">
        <v>170</v>
      </c>
      <c r="FO78" s="2" t="s">
        <v>97</v>
      </c>
      <c r="FP78" s="5"/>
      <c r="FQ78" s="2" t="s">
        <v>94</v>
      </c>
      <c r="FR78" s="2" t="s">
        <v>95</v>
      </c>
      <c r="FS78" s="2" t="s">
        <v>170</v>
      </c>
      <c r="FT78" s="2" t="s">
        <v>97</v>
      </c>
      <c r="FU78" s="5"/>
      <c r="FV78" s="2" t="s">
        <v>94</v>
      </c>
      <c r="FW78" s="2" t="s">
        <v>95</v>
      </c>
      <c r="FX78" s="2" t="s">
        <v>170</v>
      </c>
      <c r="FY78" s="2" t="s">
        <v>97</v>
      </c>
      <c r="FZ78" s="5"/>
      <c r="GA78" s="2" t="s">
        <v>94</v>
      </c>
      <c r="GB78" s="2" t="s">
        <v>95</v>
      </c>
      <c r="GC78" s="2" t="s">
        <v>170</v>
      </c>
      <c r="GD78" s="2" t="s">
        <v>97</v>
      </c>
      <c r="GE78" s="3"/>
    </row>
    <row r="79" spans="1:187" x14ac:dyDescent="0.25">
      <c r="A79" s="2" t="s">
        <v>99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100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101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102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103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104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105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106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185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107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108</v>
      </c>
      <c r="B89" s="5"/>
      <c r="C89" s="2">
        <f t="shared" si="228"/>
        <v>0</v>
      </c>
      <c r="D89" s="2">
        <f t="shared" si="229"/>
        <v>0</v>
      </c>
      <c r="E89" s="2">
        <f t="shared" si="230"/>
        <v>0</v>
      </c>
      <c r="F89" s="2" t="str">
        <f t="shared" si="231"/>
        <v>0%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0</v>
      </c>
      <c r="AC89" s="2">
        <v>0</v>
      </c>
      <c r="AD89" s="2">
        <v>0</v>
      </c>
      <c r="AE89" s="2" t="str">
        <f t="shared" si="241"/>
        <v>0%</v>
      </c>
      <c r="AF89" s="5"/>
      <c r="AG89" s="2">
        <f t="shared" si="242"/>
        <v>0</v>
      </c>
      <c r="AH89" s="2">
        <v>0</v>
      </c>
      <c r="AI89" s="2">
        <v>0</v>
      </c>
      <c r="AJ89" s="2" t="str">
        <f t="shared" si="243"/>
        <v>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109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110</v>
      </c>
      <c r="B91" s="5"/>
      <c r="C91" s="2">
        <f t="shared" si="228"/>
        <v>0</v>
      </c>
      <c r="D91" s="2">
        <f t="shared" si="229"/>
        <v>0</v>
      </c>
      <c r="E91" s="2">
        <f t="shared" si="230"/>
        <v>0</v>
      </c>
      <c r="F91" s="2" t="str">
        <f t="shared" si="231"/>
        <v>0%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0</v>
      </c>
      <c r="X91" s="2">
        <v>0</v>
      </c>
      <c r="Y91" s="2">
        <v>0</v>
      </c>
      <c r="Z91" s="2" t="str">
        <f t="shared" si="239"/>
        <v>0%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111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112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113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114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115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116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117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118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119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120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176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204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 t="shared" si="231"/>
        <v>75%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0</v>
      </c>
      <c r="X103" s="2">
        <f>SUM(X79:X102)</f>
        <v>0</v>
      </c>
      <c r="Y103" s="2">
        <f>SUM(Y79:Y102)</f>
        <v>0</v>
      </c>
      <c r="Z103" s="2" t="str">
        <f t="shared" si="239"/>
        <v>0%</v>
      </c>
      <c r="AA103" s="5"/>
      <c r="AB103" s="2">
        <f t="shared" si="240"/>
        <v>2</v>
      </c>
      <c r="AC103" s="2">
        <f>SUM(AC79:AC102)</f>
        <v>2</v>
      </c>
      <c r="AD103" s="2">
        <f>SUM(AD79:AD102)</f>
        <v>0</v>
      </c>
      <c r="AE103" s="2" t="str">
        <f t="shared" si="241"/>
        <v>100%</v>
      </c>
      <c r="AF103" s="5"/>
      <c r="AG103" s="2">
        <f t="shared" si="242"/>
        <v>1</v>
      </c>
      <c r="AH103" s="2">
        <f>SUM(AH79:AH102)</f>
        <v>1</v>
      </c>
      <c r="AI103" s="2">
        <f>SUM(AI79:AI102)</f>
        <v>0</v>
      </c>
      <c r="AJ103" s="2" t="str">
        <f t="shared" si="243"/>
        <v>100%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206</v>
      </c>
      <c r="B106" s="16" t="s">
        <v>167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6" t="str">
        <f>IF(SUM(D75,D103),ROUND(D106*100/C106,2),0) &amp; "%"</f>
        <v>70.53%</v>
      </c>
      <c r="G106" s="18" t="s">
        <v>146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146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146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6" t="str">
        <f>IF(SUM(S75,S103),ROUND(S106*100/R106,2),0) &amp; "%"</f>
        <v>66.67%</v>
      </c>
      <c r="V106" s="18" t="s">
        <v>146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16" t="str">
        <f>IF(SUM(X75,X103),ROUND(X106*100/W106,2),0) &amp; "%"</f>
        <v>76.92%</v>
      </c>
      <c r="AA106" s="18" t="s">
        <v>146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6" t="str">
        <f>IF(SUM(AC75,AC103),ROUND(AC106*100/AB106,2),0) &amp; "%"</f>
        <v>69.23%</v>
      </c>
      <c r="AF106" s="18" t="s">
        <v>146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16" t="str">
        <f>IF(SUM(AH75,AH103),ROUND(AH106*100/AG106,2),0) &amp; "%"</f>
        <v>91.67%</v>
      </c>
      <c r="AK106" s="18" t="s">
        <v>146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6" t="str">
        <f>IF(SUM(AM75,AM103),ROUND(AM106*100/AL106,2),0) &amp; "%"</f>
        <v>87.5%</v>
      </c>
      <c r="AP106" s="18" t="s">
        <v>146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16" t="str">
        <f>IF(SUM(AR75,AR103),ROUND(AR106*100/AQ106,2),0) &amp; "%"</f>
        <v>40%</v>
      </c>
      <c r="AU106" s="18" t="s">
        <v>146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146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146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146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146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146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146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146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146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146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146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146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146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146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146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146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146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146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146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146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146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146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146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6" t="str">
        <f>IF(SUM(FC75,FC103),ROUND(FC106*100/FB106,2),0) &amp; "%"</f>
        <v>0%</v>
      </c>
      <c r="FF106" s="18" t="s">
        <v>146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146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146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16" t="str">
        <f>IF(SUM(FR75,FR103),ROUND(FR106*100/FQ106,2),0) &amp; "%"</f>
        <v>0%</v>
      </c>
      <c r="FU106" s="18" t="s">
        <v>146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146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121</v>
      </c>
      <c r="B109" s="8"/>
      <c r="C109" s="7" t="s">
        <v>94</v>
      </c>
      <c r="D109" s="7" t="s">
        <v>95</v>
      </c>
      <c r="E109" s="7" t="s">
        <v>170</v>
      </c>
      <c r="F109" s="7" t="s">
        <v>97</v>
      </c>
      <c r="G109" s="8"/>
      <c r="H109" s="7" t="s">
        <v>94</v>
      </c>
      <c r="I109" s="7" t="s">
        <v>95</v>
      </c>
      <c r="J109" s="7" t="s">
        <v>170</v>
      </c>
      <c r="K109" s="7" t="s">
        <v>97</v>
      </c>
      <c r="L109" s="8"/>
      <c r="M109" s="7" t="s">
        <v>94</v>
      </c>
      <c r="N109" s="7" t="s">
        <v>95</v>
      </c>
      <c r="O109" s="7" t="s">
        <v>170</v>
      </c>
      <c r="P109" s="7" t="s">
        <v>97</v>
      </c>
      <c r="Q109" s="8"/>
      <c r="R109" s="7" t="s">
        <v>94</v>
      </c>
      <c r="S109" s="7" t="s">
        <v>95</v>
      </c>
      <c r="T109" s="7" t="s">
        <v>170</v>
      </c>
      <c r="U109" s="7" t="s">
        <v>97</v>
      </c>
      <c r="V109" s="8"/>
      <c r="W109" s="7" t="s">
        <v>94</v>
      </c>
      <c r="X109" s="7" t="s">
        <v>95</v>
      </c>
      <c r="Y109" s="7" t="s">
        <v>170</v>
      </c>
      <c r="Z109" s="7" t="s">
        <v>97</v>
      </c>
      <c r="AA109" s="8"/>
      <c r="AB109" s="7" t="s">
        <v>94</v>
      </c>
      <c r="AC109" s="7" t="s">
        <v>95</v>
      </c>
      <c r="AD109" s="7" t="s">
        <v>170</v>
      </c>
      <c r="AE109" s="7" t="s">
        <v>97</v>
      </c>
      <c r="AF109" s="8"/>
      <c r="AG109" s="7" t="s">
        <v>94</v>
      </c>
      <c r="AH109" s="7" t="s">
        <v>95</v>
      </c>
      <c r="AI109" s="7" t="s">
        <v>170</v>
      </c>
      <c r="AJ109" s="7" t="s">
        <v>97</v>
      </c>
      <c r="AK109" s="8"/>
      <c r="AL109" s="7" t="s">
        <v>94</v>
      </c>
      <c r="AM109" s="7" t="s">
        <v>95</v>
      </c>
      <c r="AN109" s="7" t="s">
        <v>170</v>
      </c>
      <c r="AO109" s="7" t="s">
        <v>97</v>
      </c>
      <c r="AP109" s="8"/>
      <c r="AQ109" s="7" t="s">
        <v>94</v>
      </c>
      <c r="AR109" s="7" t="s">
        <v>95</v>
      </c>
      <c r="AS109" s="7" t="s">
        <v>170</v>
      </c>
      <c r="AT109" s="7" t="s">
        <v>97</v>
      </c>
      <c r="AU109" s="8"/>
      <c r="AV109" s="7" t="s">
        <v>94</v>
      </c>
      <c r="AW109" s="7" t="s">
        <v>95</v>
      </c>
      <c r="AX109" s="7" t="s">
        <v>170</v>
      </c>
      <c r="AY109" s="7" t="s">
        <v>97</v>
      </c>
      <c r="AZ109" s="8"/>
      <c r="BA109" s="7" t="s">
        <v>94</v>
      </c>
      <c r="BB109" s="7" t="s">
        <v>95</v>
      </c>
      <c r="BC109" s="7" t="s">
        <v>170</v>
      </c>
      <c r="BD109" s="7" t="s">
        <v>97</v>
      </c>
      <c r="BE109" s="8"/>
      <c r="BF109" s="7" t="s">
        <v>94</v>
      </c>
      <c r="BG109" s="7" t="s">
        <v>95</v>
      </c>
      <c r="BH109" s="7" t="s">
        <v>170</v>
      </c>
      <c r="BI109" s="7" t="s">
        <v>97</v>
      </c>
      <c r="BJ109" s="8"/>
      <c r="BK109" s="7" t="s">
        <v>94</v>
      </c>
      <c r="BL109" s="7" t="s">
        <v>95</v>
      </c>
      <c r="BM109" s="7" t="s">
        <v>170</v>
      </c>
      <c r="BN109" s="7" t="s">
        <v>97</v>
      </c>
      <c r="BO109" s="8"/>
      <c r="BP109" s="7" t="s">
        <v>94</v>
      </c>
      <c r="BQ109" s="7" t="s">
        <v>95</v>
      </c>
      <c r="BR109" s="7" t="s">
        <v>170</v>
      </c>
      <c r="BS109" s="7" t="s">
        <v>97</v>
      </c>
      <c r="BT109" s="8"/>
      <c r="BU109" s="7" t="s">
        <v>94</v>
      </c>
      <c r="BV109" s="7" t="s">
        <v>95</v>
      </c>
      <c r="BW109" s="7" t="s">
        <v>170</v>
      </c>
      <c r="BX109" s="7" t="s">
        <v>97</v>
      </c>
      <c r="BY109" s="8"/>
      <c r="BZ109" s="7" t="s">
        <v>94</v>
      </c>
      <c r="CA109" s="7" t="s">
        <v>95</v>
      </c>
      <c r="CB109" s="7" t="s">
        <v>170</v>
      </c>
      <c r="CC109" s="7" t="s">
        <v>97</v>
      </c>
      <c r="CD109" s="8"/>
      <c r="CE109" s="7" t="s">
        <v>94</v>
      </c>
      <c r="CF109" s="7" t="s">
        <v>95</v>
      </c>
      <c r="CG109" s="7" t="s">
        <v>170</v>
      </c>
      <c r="CH109" s="7" t="s">
        <v>97</v>
      </c>
      <c r="CI109" s="8"/>
      <c r="CJ109" s="7" t="s">
        <v>94</v>
      </c>
      <c r="CK109" s="7" t="s">
        <v>95</v>
      </c>
      <c r="CL109" s="7" t="s">
        <v>170</v>
      </c>
      <c r="CM109" s="7" t="s">
        <v>97</v>
      </c>
      <c r="CN109" s="8"/>
      <c r="CO109" s="7" t="s">
        <v>94</v>
      </c>
      <c r="CP109" s="7" t="s">
        <v>95</v>
      </c>
      <c r="CQ109" s="7" t="s">
        <v>170</v>
      </c>
      <c r="CR109" s="7" t="s">
        <v>97</v>
      </c>
      <c r="CS109" s="8"/>
      <c r="CT109" s="7" t="s">
        <v>94</v>
      </c>
      <c r="CU109" s="7" t="s">
        <v>95</v>
      </c>
      <c r="CV109" s="7" t="s">
        <v>170</v>
      </c>
      <c r="CW109" s="7" t="s">
        <v>97</v>
      </c>
      <c r="CX109" s="8"/>
      <c r="CY109" s="7" t="s">
        <v>94</v>
      </c>
      <c r="CZ109" s="7" t="s">
        <v>95</v>
      </c>
      <c r="DA109" s="7" t="s">
        <v>170</v>
      </c>
      <c r="DB109" s="7" t="s">
        <v>97</v>
      </c>
      <c r="DC109" s="8"/>
      <c r="DD109" s="7" t="s">
        <v>94</v>
      </c>
      <c r="DE109" s="7" t="s">
        <v>95</v>
      </c>
      <c r="DF109" s="7" t="s">
        <v>170</v>
      </c>
      <c r="DG109" s="7" t="s">
        <v>97</v>
      </c>
      <c r="DH109" s="8"/>
      <c r="DI109" s="7" t="s">
        <v>94</v>
      </c>
      <c r="DJ109" s="7" t="s">
        <v>95</v>
      </c>
      <c r="DK109" s="7" t="s">
        <v>170</v>
      </c>
      <c r="DL109" s="7" t="s">
        <v>97</v>
      </c>
      <c r="DM109" s="8"/>
      <c r="DN109" s="7" t="s">
        <v>94</v>
      </c>
      <c r="DO109" s="7" t="s">
        <v>95</v>
      </c>
      <c r="DP109" s="7" t="s">
        <v>170</v>
      </c>
      <c r="DQ109" s="7" t="s">
        <v>97</v>
      </c>
      <c r="DR109" s="8"/>
      <c r="DS109" s="7" t="s">
        <v>94</v>
      </c>
      <c r="DT109" s="7" t="s">
        <v>95</v>
      </c>
      <c r="DU109" s="7" t="s">
        <v>170</v>
      </c>
      <c r="DV109" s="7" t="s">
        <v>97</v>
      </c>
      <c r="DW109" s="8"/>
      <c r="DX109" s="7" t="s">
        <v>94</v>
      </c>
      <c r="DY109" s="7" t="s">
        <v>95</v>
      </c>
      <c r="DZ109" s="7" t="s">
        <v>170</v>
      </c>
      <c r="EA109" s="7" t="s">
        <v>97</v>
      </c>
      <c r="EB109" s="8"/>
      <c r="EC109" s="7" t="s">
        <v>94</v>
      </c>
      <c r="ED109" s="7" t="s">
        <v>95</v>
      </c>
      <c r="EE109" s="7" t="s">
        <v>170</v>
      </c>
      <c r="EF109" s="7" t="s">
        <v>97</v>
      </c>
      <c r="EG109" s="8"/>
      <c r="EH109" s="7" t="s">
        <v>94</v>
      </c>
      <c r="EI109" s="7" t="s">
        <v>95</v>
      </c>
      <c r="EJ109" s="7" t="s">
        <v>170</v>
      </c>
      <c r="EK109" s="7" t="s">
        <v>97</v>
      </c>
      <c r="EL109" s="8"/>
      <c r="EM109" s="7" t="s">
        <v>94</v>
      </c>
      <c r="EN109" s="7" t="s">
        <v>95</v>
      </c>
      <c r="EO109" s="7" t="s">
        <v>170</v>
      </c>
      <c r="EP109" s="7" t="s">
        <v>97</v>
      </c>
      <c r="EQ109" s="8"/>
      <c r="ER109" s="7" t="s">
        <v>94</v>
      </c>
      <c r="ES109" s="7" t="s">
        <v>95</v>
      </c>
      <c r="ET109" s="7" t="s">
        <v>170</v>
      </c>
      <c r="EU109" s="7" t="s">
        <v>97</v>
      </c>
      <c r="EV109" s="8"/>
      <c r="EW109" s="7" t="s">
        <v>94</v>
      </c>
      <c r="EX109" s="7" t="s">
        <v>95</v>
      </c>
      <c r="EY109" s="7" t="s">
        <v>170</v>
      </c>
      <c r="EZ109" s="7" t="s">
        <v>97</v>
      </c>
      <c r="FA109" s="8"/>
      <c r="FB109" s="7" t="s">
        <v>94</v>
      </c>
      <c r="FC109" s="7" t="s">
        <v>95</v>
      </c>
      <c r="FD109" s="7" t="s">
        <v>170</v>
      </c>
      <c r="FE109" s="7" t="s">
        <v>97</v>
      </c>
      <c r="FF109" s="8"/>
      <c r="FG109" s="7" t="s">
        <v>94</v>
      </c>
      <c r="FH109" s="7" t="s">
        <v>95</v>
      </c>
      <c r="FI109" s="7" t="s">
        <v>170</v>
      </c>
      <c r="FJ109" s="7" t="s">
        <v>97</v>
      </c>
      <c r="FK109" s="8"/>
      <c r="FL109" s="7" t="s">
        <v>94</v>
      </c>
      <c r="FM109" s="7" t="s">
        <v>95</v>
      </c>
      <c r="FN109" s="7" t="s">
        <v>170</v>
      </c>
      <c r="FO109" s="7" t="s">
        <v>97</v>
      </c>
      <c r="FP109" s="8"/>
      <c r="FQ109" s="7" t="s">
        <v>94</v>
      </c>
      <c r="FR109" s="7" t="s">
        <v>95</v>
      </c>
      <c r="FS109" s="7" t="s">
        <v>170</v>
      </c>
      <c r="FT109" s="7" t="s">
        <v>97</v>
      </c>
      <c r="FU109" s="8"/>
      <c r="FV109" s="7" t="s">
        <v>94</v>
      </c>
      <c r="FW109" s="7" t="s">
        <v>95</v>
      </c>
      <c r="FX109" s="7" t="s">
        <v>170</v>
      </c>
      <c r="FY109" s="7" t="s">
        <v>97</v>
      </c>
      <c r="FZ109" s="8"/>
      <c r="GA109" s="7" t="s">
        <v>94</v>
      </c>
      <c r="GB109" s="7" t="s">
        <v>95</v>
      </c>
      <c r="GC109" s="7" t="s">
        <v>170</v>
      </c>
      <c r="GD109" s="7" t="s">
        <v>97</v>
      </c>
      <c r="GE109" s="3"/>
    </row>
    <row r="110" spans="1:187" x14ac:dyDescent="0.25">
      <c r="A110" s="7" t="s">
        <v>122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123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124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125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126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127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128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129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130</v>
      </c>
      <c r="B118" s="8"/>
      <c r="C118" s="7">
        <f t="shared" si="304"/>
        <v>3</v>
      </c>
      <c r="D118" s="7">
        <f t="shared" si="305"/>
        <v>2</v>
      </c>
      <c r="E118" s="7">
        <f t="shared" si="306"/>
        <v>1</v>
      </c>
      <c r="F118" s="7" t="str">
        <f t="shared" si="307"/>
        <v>66.67%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0</v>
      </c>
      <c r="X118" s="7">
        <v>0</v>
      </c>
      <c r="Y118" s="7">
        <v>0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1</v>
      </c>
      <c r="AH118" s="7">
        <v>1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1</v>
      </c>
      <c r="AR118" s="7">
        <v>0</v>
      </c>
      <c r="AS118" s="7">
        <v>1</v>
      </c>
      <c r="AT118" s="7" t="str">
        <f t="shared" si="323"/>
        <v>0%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0</v>
      </c>
      <c r="FC118" s="7">
        <v>0</v>
      </c>
      <c r="FD118" s="7">
        <v>0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131</v>
      </c>
      <c r="B119" s="8"/>
      <c r="C119" s="7">
        <f t="shared" si="304"/>
        <v>1</v>
      </c>
      <c r="D119" s="7">
        <f t="shared" si="305"/>
        <v>0</v>
      </c>
      <c r="E119" s="7">
        <f t="shared" si="306"/>
        <v>1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0</v>
      </c>
      <c r="AR119" s="7">
        <v>0</v>
      </c>
      <c r="AS119" s="7">
        <v>0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132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133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134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135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136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137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138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139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140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0</v>
      </c>
      <c r="FC128" s="7">
        <v>0</v>
      </c>
      <c r="FD128" s="7">
        <v>0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141</v>
      </c>
      <c r="B129" s="8"/>
      <c r="C129" s="7">
        <f t="shared" si="304"/>
        <v>1</v>
      </c>
      <c r="D129" s="7">
        <f t="shared" si="305"/>
        <v>0</v>
      </c>
      <c r="E129" s="7">
        <f t="shared" si="306"/>
        <v>1</v>
      </c>
      <c r="F129" s="7" t="str">
        <f t="shared" si="307"/>
        <v>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0</v>
      </c>
      <c r="AC129" s="7">
        <v>0</v>
      </c>
      <c r="AD129" s="7">
        <v>0</v>
      </c>
      <c r="AE129" s="7" t="str">
        <f t="shared" si="317"/>
        <v>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142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143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144</v>
      </c>
      <c r="B132" s="8"/>
      <c r="C132" s="7">
        <f t="shared" si="304"/>
        <v>0</v>
      </c>
      <c r="D132" s="7">
        <f t="shared" si="305"/>
        <v>0</v>
      </c>
      <c r="E132" s="7">
        <f t="shared" si="306"/>
        <v>0</v>
      </c>
      <c r="F132" s="7" t="str">
        <f t="shared" si="307"/>
        <v>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0</v>
      </c>
      <c r="S132" s="7">
        <v>0</v>
      </c>
      <c r="T132" s="7">
        <v>0</v>
      </c>
      <c r="U132" s="7" t="str">
        <f t="shared" si="313"/>
        <v>0%</v>
      </c>
      <c r="V132" s="8"/>
      <c r="W132" s="7">
        <f t="shared" si="314"/>
        <v>0</v>
      </c>
      <c r="X132" s="7">
        <v>0</v>
      </c>
      <c r="Y132" s="7">
        <v>0</v>
      </c>
      <c r="Z132" s="7" t="str">
        <f t="shared" si="315"/>
        <v>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0</v>
      </c>
      <c r="FR132" s="7">
        <v>0</v>
      </c>
      <c r="FS132" s="7">
        <v>0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145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181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186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180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177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205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 t="shared" si="307"/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 t="shared" si="313"/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 t="shared" si="315"/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 t="shared" si="317"/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 t="shared" si="319"/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 t="shared" si="323"/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147</v>
      </c>
      <c r="B141" s="11"/>
      <c r="C141" s="12" t="s">
        <v>94</v>
      </c>
      <c r="D141" s="12" t="s">
        <v>95</v>
      </c>
      <c r="E141" s="12" t="s">
        <v>170</v>
      </c>
      <c r="F141" s="12" t="s">
        <v>97</v>
      </c>
      <c r="G141" s="11"/>
      <c r="H141" s="12" t="s">
        <v>94</v>
      </c>
      <c r="I141" s="12" t="s">
        <v>95</v>
      </c>
      <c r="J141" s="12" t="s">
        <v>170</v>
      </c>
      <c r="K141" s="12" t="s">
        <v>97</v>
      </c>
      <c r="L141" s="11"/>
      <c r="M141" s="12" t="s">
        <v>94</v>
      </c>
      <c r="N141" s="12" t="s">
        <v>95</v>
      </c>
      <c r="O141" s="12" t="s">
        <v>170</v>
      </c>
      <c r="P141" s="12" t="s">
        <v>97</v>
      </c>
      <c r="Q141" s="11"/>
      <c r="R141" s="12" t="s">
        <v>94</v>
      </c>
      <c r="S141" s="12" t="s">
        <v>95</v>
      </c>
      <c r="T141" s="12" t="s">
        <v>170</v>
      </c>
      <c r="U141" s="12" t="s">
        <v>97</v>
      </c>
      <c r="V141" s="11"/>
      <c r="W141" s="12" t="s">
        <v>94</v>
      </c>
      <c r="X141" s="12" t="s">
        <v>95</v>
      </c>
      <c r="Y141" s="12" t="s">
        <v>170</v>
      </c>
      <c r="Z141" s="12" t="s">
        <v>97</v>
      </c>
      <c r="AA141" s="11"/>
      <c r="AB141" s="12" t="s">
        <v>94</v>
      </c>
      <c r="AC141" s="12" t="s">
        <v>95</v>
      </c>
      <c r="AD141" s="12" t="s">
        <v>170</v>
      </c>
      <c r="AE141" s="12" t="s">
        <v>97</v>
      </c>
      <c r="AF141" s="11"/>
      <c r="AG141" s="12" t="s">
        <v>94</v>
      </c>
      <c r="AH141" s="12" t="s">
        <v>95</v>
      </c>
      <c r="AI141" s="12" t="s">
        <v>170</v>
      </c>
      <c r="AJ141" s="12" t="s">
        <v>97</v>
      </c>
      <c r="AK141" s="11"/>
      <c r="AL141" s="12" t="s">
        <v>94</v>
      </c>
      <c r="AM141" s="12" t="s">
        <v>95</v>
      </c>
      <c r="AN141" s="12" t="s">
        <v>170</v>
      </c>
      <c r="AO141" s="12" t="s">
        <v>97</v>
      </c>
      <c r="AP141" s="11"/>
      <c r="AQ141" s="12" t="s">
        <v>94</v>
      </c>
      <c r="AR141" s="12" t="s">
        <v>95</v>
      </c>
      <c r="AS141" s="12" t="s">
        <v>170</v>
      </c>
      <c r="AT141" s="12" t="s">
        <v>97</v>
      </c>
      <c r="AU141" s="11"/>
      <c r="AV141" s="12" t="s">
        <v>94</v>
      </c>
      <c r="AW141" s="12" t="s">
        <v>95</v>
      </c>
      <c r="AX141" s="12" t="s">
        <v>170</v>
      </c>
      <c r="AY141" s="12" t="s">
        <v>97</v>
      </c>
      <c r="AZ141" s="11"/>
      <c r="BA141" s="12" t="s">
        <v>94</v>
      </c>
      <c r="BB141" s="12" t="s">
        <v>95</v>
      </c>
      <c r="BC141" s="12" t="s">
        <v>170</v>
      </c>
      <c r="BD141" s="12" t="s">
        <v>97</v>
      </c>
      <c r="BE141" s="11"/>
      <c r="BF141" s="12" t="s">
        <v>94</v>
      </c>
      <c r="BG141" s="12" t="s">
        <v>95</v>
      </c>
      <c r="BH141" s="12" t="s">
        <v>170</v>
      </c>
      <c r="BI141" s="12" t="s">
        <v>97</v>
      </c>
      <c r="BJ141" s="11"/>
      <c r="BK141" s="12" t="s">
        <v>94</v>
      </c>
      <c r="BL141" s="12" t="s">
        <v>95</v>
      </c>
      <c r="BM141" s="12" t="s">
        <v>170</v>
      </c>
      <c r="BN141" s="12" t="s">
        <v>97</v>
      </c>
      <c r="BO141" s="11"/>
      <c r="BP141" s="12" t="s">
        <v>94</v>
      </c>
      <c r="BQ141" s="12" t="s">
        <v>95</v>
      </c>
      <c r="BR141" s="12" t="s">
        <v>170</v>
      </c>
      <c r="BS141" s="12" t="s">
        <v>97</v>
      </c>
      <c r="BT141" s="11"/>
      <c r="BU141" s="12" t="s">
        <v>94</v>
      </c>
      <c r="BV141" s="12" t="s">
        <v>95</v>
      </c>
      <c r="BW141" s="12" t="s">
        <v>170</v>
      </c>
      <c r="BX141" s="12" t="s">
        <v>97</v>
      </c>
      <c r="BY141" s="11"/>
      <c r="BZ141" s="12" t="s">
        <v>94</v>
      </c>
      <c r="CA141" s="12" t="s">
        <v>95</v>
      </c>
      <c r="CB141" s="12" t="s">
        <v>170</v>
      </c>
      <c r="CC141" s="12" t="s">
        <v>97</v>
      </c>
      <c r="CD141" s="11"/>
      <c r="CE141" s="12" t="s">
        <v>94</v>
      </c>
      <c r="CF141" s="12" t="s">
        <v>95</v>
      </c>
      <c r="CG141" s="12" t="s">
        <v>170</v>
      </c>
      <c r="CH141" s="12" t="s">
        <v>97</v>
      </c>
      <c r="CI141" s="11"/>
      <c r="CJ141" s="12" t="s">
        <v>94</v>
      </c>
      <c r="CK141" s="12" t="s">
        <v>95</v>
      </c>
      <c r="CL141" s="12" t="s">
        <v>170</v>
      </c>
      <c r="CM141" s="12" t="s">
        <v>97</v>
      </c>
      <c r="CN141" s="11"/>
      <c r="CO141" s="12" t="s">
        <v>94</v>
      </c>
      <c r="CP141" s="12" t="s">
        <v>95</v>
      </c>
      <c r="CQ141" s="12" t="s">
        <v>170</v>
      </c>
      <c r="CR141" s="12" t="s">
        <v>97</v>
      </c>
      <c r="CS141" s="11"/>
      <c r="CT141" s="12" t="s">
        <v>94</v>
      </c>
      <c r="CU141" s="12" t="s">
        <v>95</v>
      </c>
      <c r="CV141" s="12" t="s">
        <v>170</v>
      </c>
      <c r="CW141" s="12" t="s">
        <v>97</v>
      </c>
      <c r="CX141" s="11"/>
      <c r="CY141" s="12" t="s">
        <v>94</v>
      </c>
      <c r="CZ141" s="12" t="s">
        <v>95</v>
      </c>
      <c r="DA141" s="12" t="s">
        <v>170</v>
      </c>
      <c r="DB141" s="12" t="s">
        <v>97</v>
      </c>
      <c r="DC141" s="11"/>
      <c r="DD141" s="12" t="s">
        <v>94</v>
      </c>
      <c r="DE141" s="12" t="s">
        <v>95</v>
      </c>
      <c r="DF141" s="12" t="s">
        <v>170</v>
      </c>
      <c r="DG141" s="12" t="s">
        <v>97</v>
      </c>
      <c r="DH141" s="11"/>
      <c r="DI141" s="12" t="s">
        <v>94</v>
      </c>
      <c r="DJ141" s="12" t="s">
        <v>95</v>
      </c>
      <c r="DK141" s="12" t="s">
        <v>170</v>
      </c>
      <c r="DL141" s="12" t="s">
        <v>97</v>
      </c>
      <c r="DM141" s="11"/>
      <c r="DN141" s="12" t="s">
        <v>94</v>
      </c>
      <c r="DO141" s="12" t="s">
        <v>95</v>
      </c>
      <c r="DP141" s="12" t="s">
        <v>170</v>
      </c>
      <c r="DQ141" s="12" t="s">
        <v>97</v>
      </c>
      <c r="DR141" s="11"/>
      <c r="DS141" s="12" t="s">
        <v>94</v>
      </c>
      <c r="DT141" s="12" t="s">
        <v>95</v>
      </c>
      <c r="DU141" s="12" t="s">
        <v>170</v>
      </c>
      <c r="DV141" s="12" t="s">
        <v>97</v>
      </c>
      <c r="DW141" s="11"/>
      <c r="DX141" s="12" t="s">
        <v>94</v>
      </c>
      <c r="DY141" s="12" t="s">
        <v>95</v>
      </c>
      <c r="DZ141" s="12" t="s">
        <v>170</v>
      </c>
      <c r="EA141" s="12" t="s">
        <v>97</v>
      </c>
      <c r="EB141" s="11"/>
      <c r="EC141" s="12" t="s">
        <v>94</v>
      </c>
      <c r="ED141" s="12" t="s">
        <v>95</v>
      </c>
      <c r="EE141" s="12" t="s">
        <v>170</v>
      </c>
      <c r="EF141" s="12" t="s">
        <v>97</v>
      </c>
      <c r="EG141" s="11"/>
      <c r="EH141" s="12" t="s">
        <v>94</v>
      </c>
      <c r="EI141" s="12" t="s">
        <v>95</v>
      </c>
      <c r="EJ141" s="12" t="s">
        <v>170</v>
      </c>
      <c r="EK141" s="12" t="s">
        <v>97</v>
      </c>
      <c r="EL141" s="11"/>
      <c r="EM141" s="12" t="s">
        <v>94</v>
      </c>
      <c r="EN141" s="12" t="s">
        <v>95</v>
      </c>
      <c r="EO141" s="12" t="s">
        <v>170</v>
      </c>
      <c r="EP141" s="12" t="s">
        <v>97</v>
      </c>
      <c r="EQ141" s="11"/>
      <c r="ER141" s="12" t="s">
        <v>94</v>
      </c>
      <c r="ES141" s="12" t="s">
        <v>95</v>
      </c>
      <c r="ET141" s="12" t="s">
        <v>170</v>
      </c>
      <c r="EU141" s="12" t="s">
        <v>97</v>
      </c>
      <c r="EV141" s="11"/>
      <c r="EW141" s="12" t="s">
        <v>94</v>
      </c>
      <c r="EX141" s="12" t="s">
        <v>95</v>
      </c>
      <c r="EY141" s="12" t="s">
        <v>170</v>
      </c>
      <c r="EZ141" s="12" t="s">
        <v>97</v>
      </c>
      <c r="FA141" s="11"/>
      <c r="FB141" s="12" t="s">
        <v>94</v>
      </c>
      <c r="FC141" s="12" t="s">
        <v>95</v>
      </c>
      <c r="FD141" s="12" t="s">
        <v>170</v>
      </c>
      <c r="FE141" s="12" t="s">
        <v>97</v>
      </c>
      <c r="FF141" s="11"/>
      <c r="FG141" s="12" t="s">
        <v>94</v>
      </c>
      <c r="FH141" s="12" t="s">
        <v>95</v>
      </c>
      <c r="FI141" s="12" t="s">
        <v>170</v>
      </c>
      <c r="FJ141" s="12" t="s">
        <v>97</v>
      </c>
      <c r="FK141" s="11"/>
      <c r="FL141" s="12" t="s">
        <v>94</v>
      </c>
      <c r="FM141" s="12" t="s">
        <v>95</v>
      </c>
      <c r="FN141" s="12" t="s">
        <v>170</v>
      </c>
      <c r="FO141" s="12" t="s">
        <v>97</v>
      </c>
      <c r="FP141" s="11"/>
      <c r="FQ141" s="12" t="s">
        <v>94</v>
      </c>
      <c r="FR141" s="12" t="s">
        <v>95</v>
      </c>
      <c r="FS141" s="12" t="s">
        <v>170</v>
      </c>
      <c r="FT141" s="12" t="s">
        <v>97</v>
      </c>
      <c r="FU141" s="11"/>
      <c r="FV141" s="12" t="s">
        <v>94</v>
      </c>
      <c r="FW141" s="12" t="s">
        <v>95</v>
      </c>
      <c r="FX141" s="12" t="s">
        <v>170</v>
      </c>
      <c r="FY141" s="12" t="s">
        <v>97</v>
      </c>
      <c r="FZ141" s="11"/>
      <c r="GA141" s="12" t="s">
        <v>94</v>
      </c>
      <c r="GB141" s="12" t="s">
        <v>95</v>
      </c>
      <c r="GC141" s="12" t="s">
        <v>170</v>
      </c>
      <c r="GD141" s="12" t="s">
        <v>97</v>
      </c>
      <c r="GE141" s="3"/>
    </row>
    <row r="142" spans="1:187" x14ac:dyDescent="0.25">
      <c r="A142" s="12" t="s">
        <v>148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149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150</v>
      </c>
      <c r="B144" s="11"/>
      <c r="C144" s="12">
        <f t="shared" si="380"/>
        <v>4</v>
      </c>
      <c r="D144" s="12">
        <f t="shared" si="381"/>
        <v>0</v>
      </c>
      <c r="E144" s="12">
        <f t="shared" si="382"/>
        <v>4</v>
      </c>
      <c r="F144" s="13" t="str">
        <f t="shared" si="383"/>
        <v>0%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1</v>
      </c>
      <c r="S144" s="13">
        <v>0</v>
      </c>
      <c r="T144" s="13">
        <v>1</v>
      </c>
      <c r="U144" s="13" t="str">
        <f t="shared" si="389"/>
        <v>0%</v>
      </c>
      <c r="V144" s="11"/>
      <c r="W144" s="12">
        <f t="shared" si="390"/>
        <v>1</v>
      </c>
      <c r="X144" s="13">
        <v>0</v>
      </c>
      <c r="Y144" s="13">
        <v>1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0</v>
      </c>
      <c r="FR144" s="13">
        <v>0</v>
      </c>
      <c r="FS144" s="13">
        <v>0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151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152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153</v>
      </c>
      <c r="B147" s="11"/>
      <c r="C147" s="12">
        <f t="shared" si="380"/>
        <v>0</v>
      </c>
      <c r="D147" s="12">
        <f t="shared" si="381"/>
        <v>0</v>
      </c>
      <c r="E147" s="12">
        <f t="shared" si="382"/>
        <v>0</v>
      </c>
      <c r="F147" s="13" t="str">
        <f t="shared" si="383"/>
        <v>0%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0</v>
      </c>
      <c r="AC147" s="13">
        <v>0</v>
      </c>
      <c r="AD147" s="13">
        <v>0</v>
      </c>
      <c r="AE147" s="13" t="str">
        <f t="shared" si="393"/>
        <v>0%</v>
      </c>
      <c r="AF147" s="11"/>
      <c r="AG147" s="12">
        <f t="shared" si="394"/>
        <v>0</v>
      </c>
      <c r="AH147" s="13">
        <v>0</v>
      </c>
      <c r="AI147" s="13">
        <v>0</v>
      </c>
      <c r="AJ147" s="13" t="str">
        <f t="shared" si="395"/>
        <v>0%</v>
      </c>
      <c r="AK147" s="11"/>
      <c r="AL147" s="12">
        <f t="shared" si="396"/>
        <v>0</v>
      </c>
      <c r="AM147" s="13">
        <v>0</v>
      </c>
      <c r="AN147" s="13">
        <v>0</v>
      </c>
      <c r="AO147" s="13" t="str">
        <f t="shared" si="397"/>
        <v>0%</v>
      </c>
      <c r="AP147" s="11"/>
      <c r="AQ147" s="12">
        <f t="shared" si="398"/>
        <v>0</v>
      </c>
      <c r="AR147" s="13">
        <v>0</v>
      </c>
      <c r="AS147" s="13">
        <v>0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154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155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156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157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158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159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160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161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162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163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164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165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166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178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247</v>
      </c>
      <c r="B162" s="11"/>
      <c r="C162" s="13">
        <f>SUM(C142:C161)</f>
        <v>19</v>
      </c>
      <c r="D162" s="13">
        <f>SUM(D142:D161)</f>
        <v>5</v>
      </c>
      <c r="E162" s="13">
        <f>SUM(E142:E161)</f>
        <v>14</v>
      </c>
      <c r="F162" s="13" t="str">
        <f t="shared" si="383"/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 t="shared" si="389"/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 t="shared" si="391"/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 t="shared" si="393"/>
        <v>20%</v>
      </c>
      <c r="AF162" s="11"/>
      <c r="AG162" s="13">
        <f>SUM(AG142:AG161)</f>
        <v>3</v>
      </c>
      <c r="AH162" s="13">
        <f>SUM(AH142:AH161)</f>
        <v>1</v>
      </c>
      <c r="AI162" s="13">
        <f>SUM(AI142:AI161)</f>
        <v>2</v>
      </c>
      <c r="AJ162" s="13" t="str">
        <f t="shared" si="395"/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 t="shared" si="397"/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0</v>
      </c>
      <c r="FR162" s="12">
        <f>SUM(FR142:FR161)</f>
        <v>0</v>
      </c>
      <c r="FS162" s="12">
        <f>SUM(FS142:FS161)</f>
        <v>0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208</v>
      </c>
      <c r="B165" s="9" t="s">
        <v>168</v>
      </c>
      <c r="C165" s="9">
        <f>SUM(C162,C138)</f>
        <v>41</v>
      </c>
      <c r="D165" s="9">
        <f>SUM(D162,D138)</f>
        <v>13</v>
      </c>
      <c r="E165" s="9">
        <f>SUM(E162,E138)</f>
        <v>28</v>
      </c>
      <c r="F165" s="9" t="str">
        <f>IF(SUM(D138,D162),ROUND(D165*100/C165,2),0) &amp; "%"</f>
        <v>31.71%</v>
      </c>
      <c r="G165" s="9" t="s">
        <v>169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169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169</v>
      </c>
      <c r="R165" s="9">
        <f>SUM(R162,R138)</f>
        <v>4</v>
      </c>
      <c r="S165" s="9">
        <f>SUM(S162,S138)</f>
        <v>1</v>
      </c>
      <c r="T165" s="9">
        <f>SUM(T162,T138)</f>
        <v>3</v>
      </c>
      <c r="U165" s="9" t="str">
        <f>IF(SUM(S138,S162),ROUND(S165*100/R165,2),0) &amp; "%"</f>
        <v>25%</v>
      </c>
      <c r="V165" s="9" t="s">
        <v>169</v>
      </c>
      <c r="W165" s="9">
        <f>SUM(W162,W138)</f>
        <v>6</v>
      </c>
      <c r="X165" s="9">
        <f>SUM(X162,X138)</f>
        <v>2</v>
      </c>
      <c r="Y165" s="9">
        <f>SUM(Y162,Y138)</f>
        <v>4</v>
      </c>
      <c r="Z165" s="9" t="str">
        <f>IF(SUM(X138,X162),ROUND(X165*100/W165,2),0) &amp; "%"</f>
        <v>33.33%</v>
      </c>
      <c r="AA165" s="9" t="s">
        <v>169</v>
      </c>
      <c r="AB165" s="9">
        <f>SUM(AB162,AB138)</f>
        <v>6</v>
      </c>
      <c r="AC165" s="9">
        <f>SUM(AC162,AC138)</f>
        <v>1</v>
      </c>
      <c r="AD165" s="9">
        <f>SUM(AD162,AD138)</f>
        <v>5</v>
      </c>
      <c r="AE165" s="9" t="str">
        <f>IF(SUM(AC138,AC162),ROUND(AC165*100/AB165,2),0) &amp; "%"</f>
        <v>16.67%</v>
      </c>
      <c r="AF165" s="9" t="s">
        <v>169</v>
      </c>
      <c r="AG165" s="9">
        <f>SUM(AG162,AG138)</f>
        <v>7</v>
      </c>
      <c r="AH165" s="9">
        <f>SUM(AH162,AH138)</f>
        <v>3</v>
      </c>
      <c r="AI165" s="9">
        <f>SUM(AI162,AI138)</f>
        <v>4</v>
      </c>
      <c r="AJ165" s="9" t="str">
        <f>IF(SUM(AH138,AH162),ROUND(AH165*100/AG165,2),0) &amp; "%"</f>
        <v>42.86%</v>
      </c>
      <c r="AK165" s="9" t="s">
        <v>169</v>
      </c>
      <c r="AL165" s="9">
        <f>SUM(AL162,AL138)</f>
        <v>3</v>
      </c>
      <c r="AM165" s="9">
        <f>SUM(AM162,AM138)</f>
        <v>1</v>
      </c>
      <c r="AN165" s="9">
        <f>SUM(AN162,AN138)</f>
        <v>2</v>
      </c>
      <c r="AO165" s="9" t="str">
        <f>IF(SUM(AM138,AM162),ROUND(AM165*100/AL165,2),0) &amp; "%"</f>
        <v>33.33%</v>
      </c>
      <c r="AP165" s="9" t="s">
        <v>169</v>
      </c>
      <c r="AQ165" s="9">
        <f>SUM(AQ162,AQ138)</f>
        <v>4</v>
      </c>
      <c r="AR165" s="9">
        <f>SUM(AR162,AR138)</f>
        <v>0</v>
      </c>
      <c r="AS165" s="9">
        <f>SUM(AS162,AS138)</f>
        <v>4</v>
      </c>
      <c r="AT165" s="9" t="str">
        <f>IF(SUM(AR138,AR162),ROUND(AR165*100/AQ165,2),0) &amp; "%"</f>
        <v>0%</v>
      </c>
      <c r="AU165" s="9" t="s">
        <v>169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169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169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169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169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169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169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169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169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169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169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169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169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169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169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169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169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169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169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169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169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169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169</v>
      </c>
      <c r="FB165" s="9">
        <f>SUM(FB162,FB138)</f>
        <v>0</v>
      </c>
      <c r="FC165" s="9">
        <f>SUM(FC162,FC138)</f>
        <v>0</v>
      </c>
      <c r="FD165" s="9">
        <f>SUM(FD162,FD138)</f>
        <v>0</v>
      </c>
      <c r="FE165" s="9" t="str">
        <f>IF(SUM(FC138,FC162),ROUND(FC165*100/FB165,2),0) &amp; "%"</f>
        <v>0%</v>
      </c>
      <c r="FF165" s="9" t="s">
        <v>169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169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169</v>
      </c>
      <c r="FQ165" s="9">
        <f>SUM(FQ162,FQ138)</f>
        <v>0</v>
      </c>
      <c r="FR165" s="9">
        <f>SUM(FR162,FR138)</f>
        <v>0</v>
      </c>
      <c r="FS165" s="9">
        <f>SUM(FS162,FS138)</f>
        <v>0</v>
      </c>
      <c r="FT165" s="9" t="str">
        <f>IF(SUM(FR138,FR162),ROUND(FR165*100/FQ165,2),0) &amp; "%"</f>
        <v>0%</v>
      </c>
      <c r="FU165" s="9" t="s">
        <v>169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169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 t="s">
        <v>207</v>
      </c>
      <c r="B166" s="9" t="s">
        <v>172</v>
      </c>
      <c r="C166" s="9">
        <f>SUM(C165,C106)</f>
        <v>136</v>
      </c>
      <c r="D166" s="9">
        <f>SUM(D165,D106)</f>
        <v>80</v>
      </c>
      <c r="E166" s="9">
        <f>SUM(E165,E106)</f>
        <v>56</v>
      </c>
      <c r="F166" s="15" t="str">
        <f>IF(SUM(C162,C138,C103,C75),ROUND((D166/C166)*100,2),0) &amp; "%"</f>
        <v>58.82%</v>
      </c>
      <c r="G166" s="9" t="s">
        <v>187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187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187</v>
      </c>
      <c r="R166" s="9">
        <f>SUM(R165,R106)</f>
        <v>16</v>
      </c>
      <c r="S166" s="9">
        <f>SUM(S165,S106)</f>
        <v>9</v>
      </c>
      <c r="T166" s="9">
        <f>SUM(T165,T106)</f>
        <v>7</v>
      </c>
      <c r="U166" s="15" t="str">
        <f>IF(SUM(R162,R138,R103,R75),ROUND((S166/R166)*100,2),0) &amp; "%"</f>
        <v>56.25%</v>
      </c>
      <c r="V166" s="9" t="s">
        <v>187</v>
      </c>
      <c r="W166" s="9">
        <f>SUM(W165,W106)</f>
        <v>19</v>
      </c>
      <c r="X166" s="9">
        <f>SUM(X165,X106)</f>
        <v>12</v>
      </c>
      <c r="Y166" s="9">
        <f>SUM(Y165,Y106)</f>
        <v>7</v>
      </c>
      <c r="Z166" s="15" t="str">
        <f>IF(SUM(W162,W138,W103,W75),ROUND((X166/W166)*100,2),0) &amp; "%"</f>
        <v>63.16%</v>
      </c>
      <c r="AA166" s="9" t="s">
        <v>187</v>
      </c>
      <c r="AB166" s="9">
        <f>SUM(AB165,AB106)</f>
        <v>19</v>
      </c>
      <c r="AC166" s="9">
        <f>SUM(AC165,AC106)</f>
        <v>10</v>
      </c>
      <c r="AD166" s="9">
        <f>SUM(AD165,AD106)</f>
        <v>9</v>
      </c>
      <c r="AE166" s="15" t="str">
        <f>IF(SUM(AB162,AB138,AB103,AB75),ROUND((AC166/AB166)*100,2),0) &amp; "%"</f>
        <v>52.63%</v>
      </c>
      <c r="AF166" s="9" t="s">
        <v>187</v>
      </c>
      <c r="AG166" s="9">
        <f>SUM(AG165,AG106)</f>
        <v>19</v>
      </c>
      <c r="AH166" s="9">
        <f>SUM(AH165,AH106)</f>
        <v>14</v>
      </c>
      <c r="AI166" s="9">
        <f>SUM(AI165,AI106)</f>
        <v>5</v>
      </c>
      <c r="AJ166" s="15" t="str">
        <f>IF(SUM(AG162,AG138,AG103,AG75),ROUND((AH166/AG166)*100,2),0) &amp; "%"</f>
        <v>73.68%</v>
      </c>
      <c r="AK166" s="9" t="s">
        <v>187</v>
      </c>
      <c r="AL166" s="9">
        <f>SUM(AL165,AL106)</f>
        <v>11</v>
      </c>
      <c r="AM166" s="9">
        <f>SUM(AM165,AM106)</f>
        <v>8</v>
      </c>
      <c r="AN166" s="9">
        <f>SUM(AN165,AN106)</f>
        <v>3</v>
      </c>
      <c r="AO166" s="15" t="str">
        <f>IF(SUM(AL162,AL138,AL103,AL75),ROUND((AM166/AL166)*100,2),0) &amp; "%"</f>
        <v>72.73%</v>
      </c>
      <c r="AP166" s="9" t="s">
        <v>187</v>
      </c>
      <c r="AQ166" s="9">
        <f>SUM(AQ165,AQ106)</f>
        <v>9</v>
      </c>
      <c r="AR166" s="9">
        <f>SUM(AR165,AR106)</f>
        <v>2</v>
      </c>
      <c r="AS166" s="9">
        <f>SUM(AS165,AS106)</f>
        <v>7</v>
      </c>
      <c r="AT166" s="15" t="str">
        <f>IF(SUM(AQ162,AQ138,AQ103,AQ75),ROUND((AR166/AQ166)*100,2),0) &amp; "%"</f>
        <v>22.22%</v>
      </c>
      <c r="AU166" s="9" t="s">
        <v>187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187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187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187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187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187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187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187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187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187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187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187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187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187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187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187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187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187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187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187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187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187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187</v>
      </c>
      <c r="FB166" s="9">
        <f>SUM(FB165,FB106)</f>
        <v>0</v>
      </c>
      <c r="FC166" s="9">
        <f>SUM(FC165,FC106)</f>
        <v>0</v>
      </c>
      <c r="FD166" s="9">
        <f>SUM(FD165,FD106)</f>
        <v>0</v>
      </c>
      <c r="FE166" s="15" t="str">
        <f>IF(SUM(FB162,FB138,FB103,FB75),ROUND((FC166/FB166)*100,2),0) &amp; "%"</f>
        <v>0%</v>
      </c>
      <c r="FF166" s="9" t="s">
        <v>187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187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187</v>
      </c>
      <c r="FQ166" s="9">
        <f>SUM(FQ165,FQ106)</f>
        <v>0</v>
      </c>
      <c r="FR166" s="9">
        <f>SUM(FR165,FR106)</f>
        <v>0</v>
      </c>
      <c r="FS166" s="9">
        <f>SUM(FS165,FS106)</f>
        <v>0</v>
      </c>
      <c r="FT166" s="15" t="str">
        <f>IF(SUM(FQ162,FQ138,FQ103,FQ75),ROUND((FR166/FQ166)*100,2),0) &amp; "%"</f>
        <v>0%</v>
      </c>
      <c r="FU166" s="9" t="s">
        <v>187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187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 t="s">
        <v>173</v>
      </c>
      <c r="B167" s="10"/>
      <c r="C167" s="9" t="s">
        <v>173</v>
      </c>
      <c r="D167" s="9"/>
      <c r="E167" s="9"/>
      <c r="F167" s="9">
        <f>+SUM(C162,C138,C103,C75)</f>
        <v>136</v>
      </c>
      <c r="G167" s="10"/>
      <c r="H167" s="9" t="s">
        <v>173</v>
      </c>
      <c r="I167" s="9"/>
      <c r="J167" s="9"/>
      <c r="K167" s="9">
        <f>+SUM(H162,H138,H103,H75)</f>
        <v>8</v>
      </c>
      <c r="L167" s="10"/>
      <c r="M167" s="9" t="s">
        <v>173</v>
      </c>
      <c r="N167" s="9"/>
      <c r="O167" s="9"/>
      <c r="P167" s="9">
        <f>+SUM(M162,M138,M103,M75)</f>
        <v>14</v>
      </c>
      <c r="Q167" s="10"/>
      <c r="R167" s="9" t="s">
        <v>173</v>
      </c>
      <c r="S167" s="9"/>
      <c r="T167" s="9"/>
      <c r="U167" s="9">
        <f>+SUM(R162,R138,R103,R75)</f>
        <v>16</v>
      </c>
      <c r="V167" s="10"/>
      <c r="W167" s="9" t="s">
        <v>173</v>
      </c>
      <c r="X167" s="9"/>
      <c r="Y167" s="9"/>
      <c r="Z167" s="9">
        <f>+SUM(W162,W138,W103,W75)</f>
        <v>19</v>
      </c>
      <c r="AA167" s="10"/>
      <c r="AB167" s="9" t="s">
        <v>173</v>
      </c>
      <c r="AC167" s="9"/>
      <c r="AD167" s="9"/>
      <c r="AE167" s="9">
        <f>+SUM(AB162,AB138,AB103,AB75)</f>
        <v>19</v>
      </c>
      <c r="AF167" s="10"/>
      <c r="AG167" s="9" t="s">
        <v>173</v>
      </c>
      <c r="AH167" s="9"/>
      <c r="AI167" s="9"/>
      <c r="AJ167" s="9">
        <f>+SUM(AG162,AG138,AG103,AG75)</f>
        <v>19</v>
      </c>
      <c r="AK167" s="10"/>
      <c r="AL167" s="9" t="s">
        <v>173</v>
      </c>
      <c r="AM167" s="9"/>
      <c r="AN167" s="9"/>
      <c r="AO167" s="9">
        <f>+SUM(AL162,AL138,AL103,AL75)</f>
        <v>11</v>
      </c>
      <c r="AP167" s="10"/>
      <c r="AQ167" s="9" t="s">
        <v>173</v>
      </c>
      <c r="AR167" s="9"/>
      <c r="AS167" s="9"/>
      <c r="AT167" s="9">
        <f>+SUM(AQ162,AQ138,AQ103,AQ75)</f>
        <v>9</v>
      </c>
      <c r="AU167" s="10"/>
      <c r="AV167" s="9" t="s">
        <v>173</v>
      </c>
      <c r="AW167" s="9"/>
      <c r="AX167" s="9"/>
      <c r="AY167" s="9">
        <f>+SUM(AV162,AV138,AV103,AV75)</f>
        <v>3</v>
      </c>
      <c r="AZ167" s="10"/>
      <c r="BA167" s="9" t="s">
        <v>173</v>
      </c>
      <c r="BB167" s="9"/>
      <c r="BC167" s="9"/>
      <c r="BD167" s="9">
        <f>+SUM(BA162,BA138,BA103,BA75)</f>
        <v>0</v>
      </c>
      <c r="BE167" s="10"/>
      <c r="BF167" s="9" t="s">
        <v>173</v>
      </c>
      <c r="BG167" s="9"/>
      <c r="BH167" s="9"/>
      <c r="BI167" s="9">
        <f>+SUM(BF162,BF138,BF103,BF75)</f>
        <v>1</v>
      </c>
      <c r="BJ167" s="10"/>
      <c r="BK167" s="9" t="s">
        <v>173</v>
      </c>
      <c r="BL167" s="9"/>
      <c r="BM167" s="9"/>
      <c r="BN167" s="9">
        <f>+SUM(BK162,BK138,BK103,BK75)</f>
        <v>0</v>
      </c>
      <c r="BO167" s="10"/>
      <c r="BP167" s="9" t="s">
        <v>173</v>
      </c>
      <c r="BQ167" s="9"/>
      <c r="BR167" s="9"/>
      <c r="BS167" s="9">
        <f>+SUM(BP162,BP138,BP103,BP75)</f>
        <v>0</v>
      </c>
      <c r="BT167" s="10"/>
      <c r="BU167" s="9" t="s">
        <v>173</v>
      </c>
      <c r="BV167" s="9"/>
      <c r="BW167" s="9"/>
      <c r="BX167" s="9">
        <f>+SUM(BU162,BU138,BU103,BU75)</f>
        <v>0</v>
      </c>
      <c r="BY167" s="10"/>
      <c r="BZ167" s="9" t="s">
        <v>173</v>
      </c>
      <c r="CA167" s="9"/>
      <c r="CB167" s="9"/>
      <c r="CC167" s="9">
        <f>+SUM(BZ162,BZ138,BZ103,BZ75)</f>
        <v>0</v>
      </c>
      <c r="CD167" s="10"/>
      <c r="CE167" s="9" t="s">
        <v>173</v>
      </c>
      <c r="CF167" s="9"/>
      <c r="CG167" s="9"/>
      <c r="CH167" s="9">
        <f>+SUM(CE162,CE138,CE103,CE75)</f>
        <v>0</v>
      </c>
      <c r="CI167" s="10"/>
      <c r="CJ167" s="9" t="s">
        <v>173</v>
      </c>
      <c r="CK167" s="9"/>
      <c r="CL167" s="9"/>
      <c r="CM167" s="9">
        <f>+SUM(CJ162,CJ138,CJ103,CJ75)</f>
        <v>0</v>
      </c>
      <c r="CN167" s="10"/>
      <c r="CO167" s="9" t="s">
        <v>173</v>
      </c>
      <c r="CP167" s="9"/>
      <c r="CQ167" s="9"/>
      <c r="CR167" s="9">
        <f>+SUM(CO162,CO138,CO103,CO75)</f>
        <v>0</v>
      </c>
      <c r="CS167" s="10"/>
      <c r="CT167" s="9" t="s">
        <v>173</v>
      </c>
      <c r="CU167" s="9"/>
      <c r="CV167" s="9"/>
      <c r="CW167" s="9">
        <f>+SUM(CT162,CT138,CT103,CT75)</f>
        <v>0</v>
      </c>
      <c r="CX167" s="10"/>
      <c r="CY167" s="9" t="s">
        <v>173</v>
      </c>
      <c r="CZ167" s="9"/>
      <c r="DA167" s="9"/>
      <c r="DB167" s="9">
        <f>+SUM(CY162,CY138,CY103,CY75)</f>
        <v>0</v>
      </c>
      <c r="DC167" s="10"/>
      <c r="DD167" s="9" t="s">
        <v>173</v>
      </c>
      <c r="DE167" s="9"/>
      <c r="DF167" s="9"/>
      <c r="DG167" s="9">
        <f>+SUM(DD162,DD138,DD103,DD75)</f>
        <v>0</v>
      </c>
      <c r="DH167" s="10"/>
      <c r="DI167" s="9" t="s">
        <v>173</v>
      </c>
      <c r="DJ167" s="9"/>
      <c r="DK167" s="9"/>
      <c r="DL167" s="9">
        <f>+SUM(DI162,DI138,DI103,DI75)</f>
        <v>4</v>
      </c>
      <c r="DM167" s="10"/>
      <c r="DN167" s="9" t="s">
        <v>173</v>
      </c>
      <c r="DO167" s="9"/>
      <c r="DP167" s="9"/>
      <c r="DQ167" s="9">
        <f>+SUM(DN162,DN138,DN103,DN75)</f>
        <v>4</v>
      </c>
      <c r="DR167" s="10"/>
      <c r="DS167" s="9" t="s">
        <v>173</v>
      </c>
      <c r="DT167" s="9"/>
      <c r="DU167" s="9"/>
      <c r="DV167" s="9">
        <f>+SUM(DS162,DS138,DS103,DS75)</f>
        <v>0</v>
      </c>
      <c r="DW167" s="10"/>
      <c r="DX167" s="9" t="s">
        <v>173</v>
      </c>
      <c r="DY167" s="9"/>
      <c r="DZ167" s="9"/>
      <c r="EA167" s="9">
        <f>+SUM(DX162,DX138,DX103,DX75)</f>
        <v>0</v>
      </c>
      <c r="EB167" s="10"/>
      <c r="EC167" s="9" t="s">
        <v>173</v>
      </c>
      <c r="ED167" s="9"/>
      <c r="EE167" s="9"/>
      <c r="EF167" s="9">
        <f>+SUM(EC162,EC138,EC103,EC75)</f>
        <v>4</v>
      </c>
      <c r="EG167" s="10"/>
      <c r="EH167" s="9" t="s">
        <v>173</v>
      </c>
      <c r="EI167" s="9"/>
      <c r="EJ167" s="9"/>
      <c r="EK167" s="9">
        <f>+SUM(EH162,EH138,EH103,EH75)</f>
        <v>0</v>
      </c>
      <c r="EL167" s="10"/>
      <c r="EM167" s="9" t="s">
        <v>173</v>
      </c>
      <c r="EN167" s="9"/>
      <c r="EO167" s="9"/>
      <c r="EP167" s="9">
        <f>+SUM(EM162,EM138,EM103,EM75)</f>
        <v>0</v>
      </c>
      <c r="EQ167" s="10"/>
      <c r="ER167" s="9" t="s">
        <v>173</v>
      </c>
      <c r="ES167" s="9"/>
      <c r="ET167" s="9"/>
      <c r="EU167" s="9">
        <f>+SUM(ER162,ER138,ER103,ER75)</f>
        <v>5</v>
      </c>
      <c r="EV167" s="10"/>
      <c r="EW167" s="9" t="s">
        <v>173</v>
      </c>
      <c r="EX167" s="9"/>
      <c r="EY167" s="9"/>
      <c r="EZ167" s="9">
        <f>+SUM(EW162,EW138,EW103,EW75)</f>
        <v>4</v>
      </c>
      <c r="FA167" s="10"/>
      <c r="FB167" s="9" t="s">
        <v>173</v>
      </c>
      <c r="FC167" s="9"/>
      <c r="FD167" s="9"/>
      <c r="FE167" s="9">
        <f>+SUM(FB162,FB138,FB103,FB75)</f>
        <v>0</v>
      </c>
      <c r="FF167" s="10"/>
      <c r="FG167" s="9" t="s">
        <v>173</v>
      </c>
      <c r="FH167" s="9"/>
      <c r="FI167" s="9"/>
      <c r="FJ167" s="9">
        <f>+SUM(FG162,FG138,FG103,FG75)</f>
        <v>0</v>
      </c>
      <c r="FK167" s="10"/>
      <c r="FL167" s="9" t="s">
        <v>173</v>
      </c>
      <c r="FM167" s="9"/>
      <c r="FN167" s="9"/>
      <c r="FO167" s="9">
        <f>+SUM(FL162,FL138,FL103,FL75)</f>
        <v>0</v>
      </c>
      <c r="FP167" s="10"/>
      <c r="FQ167" s="9" t="s">
        <v>173</v>
      </c>
      <c r="FR167" s="9"/>
      <c r="FS167" s="9"/>
      <c r="FT167" s="9">
        <f>+SUM(FQ162,FQ138,FQ103,FQ75)</f>
        <v>0</v>
      </c>
      <c r="FU167" s="10"/>
      <c r="FV167" s="9" t="s">
        <v>173</v>
      </c>
      <c r="FW167" s="9"/>
      <c r="FX167" s="9"/>
      <c r="FY167" s="9">
        <f>+SUM(FV162,FV138,FV103,FV75)</f>
        <v>0</v>
      </c>
      <c r="FZ167" s="10"/>
      <c r="GA167" s="9" t="s">
        <v>173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 t="s">
        <v>202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193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192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1</v>
      </c>
      <c r="X173" s="20">
        <v>0</v>
      </c>
      <c r="Y173" s="20">
        <v>1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1</v>
      </c>
      <c r="DJ173" s="20">
        <v>0</v>
      </c>
      <c r="DK173" s="20">
        <v>1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194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1</v>
      </c>
      <c r="N174" s="20">
        <v>1</v>
      </c>
      <c r="O174" s="20">
        <v>0</v>
      </c>
      <c r="P174" s="20" t="str">
        <f t="shared" si="457"/>
        <v>100%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1</v>
      </c>
      <c r="AH174" s="20">
        <v>1</v>
      </c>
      <c r="AI174" s="20">
        <v>0</v>
      </c>
      <c r="AJ174" s="20" t="str">
        <f t="shared" si="465"/>
        <v>100%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195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1</v>
      </c>
      <c r="N175" s="20">
        <v>1</v>
      </c>
      <c r="O175" s="20">
        <v>0</v>
      </c>
      <c r="P175" s="20" t="str">
        <f t="shared" si="457"/>
        <v>100%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1</v>
      </c>
      <c r="X175" s="20">
        <v>0</v>
      </c>
      <c r="Y175" s="20">
        <v>1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1</v>
      </c>
      <c r="AH175" s="20">
        <v>1</v>
      </c>
      <c r="AI175" s="20">
        <v>0</v>
      </c>
      <c r="AJ175" s="20" t="str">
        <f t="shared" si="465"/>
        <v>100%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1</v>
      </c>
      <c r="DJ175" s="20">
        <v>0</v>
      </c>
      <c r="DK175" s="20">
        <v>1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191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1</v>
      </c>
      <c r="N176" s="20">
        <v>1</v>
      </c>
      <c r="O176" s="20">
        <v>0</v>
      </c>
      <c r="P176" s="20" t="str">
        <f t="shared" si="457"/>
        <v>100%</v>
      </c>
      <c r="Q176" s="22"/>
      <c r="R176" s="20">
        <f t="shared" si="458"/>
        <v>4</v>
      </c>
      <c r="S176" s="20">
        <v>3</v>
      </c>
      <c r="T176" s="20">
        <v>1</v>
      </c>
      <c r="U176" s="20" t="str">
        <f t="shared" si="459"/>
        <v>75%</v>
      </c>
      <c r="V176" s="22"/>
      <c r="W176" s="20">
        <f t="shared" si="460"/>
        <v>4</v>
      </c>
      <c r="X176" s="20">
        <v>3</v>
      </c>
      <c r="Y176" s="20">
        <v>1</v>
      </c>
      <c r="Z176" s="20" t="str">
        <f t="shared" si="461"/>
        <v>75%</v>
      </c>
      <c r="AA176" s="22"/>
      <c r="AB176" s="20">
        <f t="shared" si="462"/>
        <v>5</v>
      </c>
      <c r="AC176" s="20">
        <v>4</v>
      </c>
      <c r="AD176" s="20">
        <v>1</v>
      </c>
      <c r="AE176" s="20" t="str">
        <f t="shared" si="463"/>
        <v>80%</v>
      </c>
      <c r="AF176" s="22"/>
      <c r="AG176" s="20">
        <f t="shared" si="464"/>
        <v>1</v>
      </c>
      <c r="AH176" s="20">
        <v>1</v>
      </c>
      <c r="AI176" s="20">
        <v>0</v>
      </c>
      <c r="AJ176" s="20" t="str">
        <f t="shared" si="465"/>
        <v>100%</v>
      </c>
      <c r="AK176" s="22"/>
      <c r="AL176" s="20">
        <f t="shared" si="466"/>
        <v>3</v>
      </c>
      <c r="AM176" s="20">
        <v>3</v>
      </c>
      <c r="AN176" s="20">
        <v>0</v>
      </c>
      <c r="AO176" s="20" t="str">
        <f t="shared" si="467"/>
        <v>100%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1</v>
      </c>
      <c r="BG176" s="20">
        <v>1</v>
      </c>
      <c r="BH176" s="20">
        <v>0</v>
      </c>
      <c r="BI176" s="20" t="str">
        <f t="shared" si="475"/>
        <v>100%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2</v>
      </c>
      <c r="DJ176" s="20">
        <v>1</v>
      </c>
      <c r="DK176" s="20">
        <v>1</v>
      </c>
      <c r="DL176" s="20" t="str">
        <f t="shared" si="497"/>
        <v>50%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3</v>
      </c>
      <c r="EX176" s="20">
        <v>3</v>
      </c>
      <c r="EY176" s="20">
        <v>0</v>
      </c>
      <c r="EZ176" s="20" t="str">
        <f t="shared" si="513"/>
        <v>100%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198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3</v>
      </c>
      <c r="N177" s="20">
        <f>SUM(N176,N175,N174,N173,N172)</f>
        <v>3</v>
      </c>
      <c r="O177" s="20">
        <f>SUM(O176,O175,O174,O173,O172)</f>
        <v>0</v>
      </c>
      <c r="P177" s="20" t="str">
        <f t="shared" si="457"/>
        <v>100%</v>
      </c>
      <c r="Q177" s="22"/>
      <c r="R177" s="20">
        <f>SUM(R176,R175,R174,R173,R172)</f>
        <v>4</v>
      </c>
      <c r="S177" s="20">
        <f>SUM(S176,S175,S174,S173,S172)</f>
        <v>3</v>
      </c>
      <c r="T177" s="20">
        <f>SUM(T176,T175,T174,T173,T172)</f>
        <v>1</v>
      </c>
      <c r="U177" s="20" t="str">
        <f t="shared" si="459"/>
        <v>75%</v>
      </c>
      <c r="V177" s="22"/>
      <c r="W177" s="20">
        <f>SUM(W176,W175,W174,W173,W172)</f>
        <v>6</v>
      </c>
      <c r="X177" s="20">
        <f>SUM(X176,X175,X174,X173,X172)</f>
        <v>3</v>
      </c>
      <c r="Y177" s="20">
        <f>SUM(Y176,Y175,Y174,Y173,Y172)</f>
        <v>3</v>
      </c>
      <c r="Z177" s="20" t="str">
        <f t="shared" si="461"/>
        <v>50%</v>
      </c>
      <c r="AA177" s="22"/>
      <c r="AB177" s="20">
        <f>SUM(AB176,AB175,AB174,AB173,AB172)</f>
        <v>5</v>
      </c>
      <c r="AC177" s="20">
        <f>SUM(AC176,AC175,AC174,AC173,AC172)</f>
        <v>4</v>
      </c>
      <c r="AD177" s="20">
        <f>SUM(AD176,AD175,AD174,AD173,AD172)</f>
        <v>1</v>
      </c>
      <c r="AE177" s="20" t="str">
        <f t="shared" si="463"/>
        <v>80%</v>
      </c>
      <c r="AF177" s="22"/>
      <c r="AG177" s="20">
        <f>SUM(AG176,AG175,AG174,AG173,AG172)</f>
        <v>3</v>
      </c>
      <c r="AH177" s="20">
        <f>SUM(AH176,AH175,AH174,AH173,AH172)</f>
        <v>3</v>
      </c>
      <c r="AI177" s="20">
        <f>SUM(AI176,AI175,AI174,AI173,AI172)</f>
        <v>0</v>
      </c>
      <c r="AJ177" s="20" t="str">
        <f t="shared" si="465"/>
        <v>100%</v>
      </c>
      <c r="AK177" s="22"/>
      <c r="AL177" s="20">
        <f>SUM(AL176,AL175,AL174,AL173,AL172)</f>
        <v>3</v>
      </c>
      <c r="AM177" s="20">
        <f>SUM(AM176,AM175,AM174,AM173,AM172)</f>
        <v>3</v>
      </c>
      <c r="AN177" s="20">
        <f>SUM(AN176,AN175,AN174,AN173,AN172)</f>
        <v>0</v>
      </c>
      <c r="AO177" s="20" t="str">
        <f t="shared" si="467"/>
        <v>100%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1</v>
      </c>
      <c r="BG177" s="20">
        <f>SUM(BG176,BG175,BG174,BG173,BG172)</f>
        <v>1</v>
      </c>
      <c r="BH177" s="20">
        <f>SUM(BH176,BH175,BH174,BH173,BH172)</f>
        <v>0</v>
      </c>
      <c r="BI177" s="20" t="str">
        <f t="shared" si="475"/>
        <v>100%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4</v>
      </c>
      <c r="DJ177" s="20">
        <f>SUM(DJ176,DJ175,DJ174,DJ173,DJ172)</f>
        <v>1</v>
      </c>
      <c r="DK177" s="20">
        <f>SUM(DK176,DK175,DK174,DK173,DK172)</f>
        <v>3</v>
      </c>
      <c r="DL177" s="20" t="str">
        <f t="shared" si="497"/>
        <v>25%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3</v>
      </c>
      <c r="EX177" s="20">
        <f>SUM(EX176,EX175,EX174,EX173,EX172)</f>
        <v>3</v>
      </c>
      <c r="EY177" s="20">
        <f>SUM(EY176,EY175,EY174,EY173,EY172)</f>
        <v>0</v>
      </c>
      <c r="EZ177" s="20" t="str">
        <f t="shared" si="513"/>
        <v>100%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196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-25%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-16.67%</v>
      </c>
      <c r="AF178" s="22"/>
      <c r="AG178" s="22"/>
      <c r="AH178" s="22"/>
      <c r="AI178" s="22"/>
      <c r="AJ178" s="20" t="str">
        <f>(AJ175-AJ165)*100 &amp; "%"</f>
        <v>57.14%</v>
      </c>
      <c r="AK178" s="22"/>
      <c r="AL178" s="22"/>
      <c r="AM178" s="22"/>
      <c r="AN178" s="22"/>
      <c r="AO178" s="20" t="str">
        <f>(AO175-AO165)*100 &amp; "%"</f>
        <v>-33.33%</v>
      </c>
      <c r="AP178" s="22"/>
      <c r="AQ178" s="22"/>
      <c r="AR178" s="22"/>
      <c r="AS178" s="22"/>
      <c r="AT178" s="20" t="str">
        <f>(AT175-AT165)*100 &amp; "%"</f>
        <v>0%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197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25%</v>
      </c>
      <c r="Q179" s="22"/>
      <c r="R179" s="22"/>
      <c r="S179" s="22"/>
      <c r="T179" s="22"/>
      <c r="U179" s="20" t="str">
        <f>(U176-U106)*100 &amp; "%"</f>
        <v>8.33%</v>
      </c>
      <c r="V179" s="22"/>
      <c r="W179" s="22"/>
      <c r="X179" s="22"/>
      <c r="Y179" s="22"/>
      <c r="Z179" s="20" t="str">
        <f>(Z176-Z106)*100 &amp; "%"</f>
        <v>-1.92%</v>
      </c>
      <c r="AA179" s="22"/>
      <c r="AB179" s="22"/>
      <c r="AC179" s="22"/>
      <c r="AD179" s="22"/>
      <c r="AE179" s="20" t="str">
        <f>(AE176-AE106)*100 &amp; "%"</f>
        <v>10.77%</v>
      </c>
      <c r="AF179" s="22"/>
      <c r="AG179" s="22"/>
      <c r="AH179" s="22"/>
      <c r="AI179" s="22"/>
      <c r="AJ179" s="20" t="str">
        <f>(AJ176-AJ106)*100 &amp; "%"</f>
        <v>8.33%</v>
      </c>
      <c r="AK179" s="22"/>
      <c r="AL179" s="22"/>
      <c r="AM179" s="22"/>
      <c r="AN179" s="22"/>
      <c r="AO179" s="20" t="str">
        <f>(AO176-AO106)*100 &amp; "%"</f>
        <v>12.5%</v>
      </c>
      <c r="AP179" s="22"/>
      <c r="AQ179" s="22"/>
      <c r="AR179" s="22"/>
      <c r="AS179" s="22"/>
      <c r="AT179" s="20" t="str">
        <f>(AT176-AT106)*100 &amp; "%"</f>
        <v>-40%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16.67%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0%</v>
      </c>
      <c r="FA179" s="22"/>
      <c r="FB179" s="22"/>
      <c r="FC179" s="22"/>
      <c r="FD179" s="22"/>
      <c r="FE179" s="20" t="str">
        <f>(FE176-FE106)*100 &amp; "%"</f>
        <v>0%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0%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199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0.21430000000000005</v>
      </c>
      <c r="Q180" s="22"/>
      <c r="R180" s="22"/>
      <c r="S180" s="22"/>
      <c r="T180" s="22"/>
      <c r="U180" s="23">
        <f>U177-U166</f>
        <v>0.1875</v>
      </c>
      <c r="V180" s="22"/>
      <c r="W180" s="22"/>
      <c r="X180" s="22"/>
      <c r="Y180" s="22"/>
      <c r="Z180" s="23">
        <f>Z177-Z166</f>
        <v>-0.13160000000000005</v>
      </c>
      <c r="AA180" s="22"/>
      <c r="AB180" s="22"/>
      <c r="AC180" s="22"/>
      <c r="AD180" s="22"/>
      <c r="AE180" s="23">
        <f>AE177-AE166</f>
        <v>0.27370000000000005</v>
      </c>
      <c r="AF180" s="22"/>
      <c r="AG180" s="22"/>
      <c r="AH180" s="22"/>
      <c r="AI180" s="22"/>
      <c r="AJ180" s="23">
        <f>AJ177-AJ166</f>
        <v>0.26319999999999999</v>
      </c>
      <c r="AK180" s="22"/>
      <c r="AL180" s="22"/>
      <c r="AM180" s="22"/>
      <c r="AN180" s="22"/>
      <c r="AO180" s="23">
        <f>AO177-AO166</f>
        <v>0.27270000000000005</v>
      </c>
      <c r="AP180" s="22"/>
      <c r="AQ180" s="22"/>
      <c r="AR180" s="22"/>
      <c r="AS180" s="22"/>
      <c r="AT180" s="23">
        <f>AT177-AT166</f>
        <v>-0.22220000000000001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0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0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0</v>
      </c>
      <c r="FA180" s="22"/>
      <c r="FB180" s="22"/>
      <c r="FC180" s="22"/>
      <c r="FD180" s="22"/>
      <c r="FE180" s="23">
        <f>FE177-FE166</f>
        <v>0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0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193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192</v>
      </c>
      <c r="B184" s="22"/>
      <c r="C184" s="22"/>
      <c r="D184" s="22"/>
      <c r="E184" s="22"/>
      <c r="F184" s="22"/>
      <c r="G184" s="22"/>
      <c r="H184" s="20">
        <f t="shared" ref="H184:H187" si="526">SUM(I184,J184)</f>
        <v>1</v>
      </c>
      <c r="I184" s="20">
        <v>1</v>
      </c>
      <c r="J184" s="20">
        <v>0</v>
      </c>
      <c r="K184" s="20" t="str">
        <f t="shared" ref="K184:K188" si="527">IF(H184,ROUND(I184/H184*100,2),0) &amp; "%"</f>
        <v>100%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1</v>
      </c>
      <c r="AH184" s="20">
        <v>1</v>
      </c>
      <c r="AI184" s="20">
        <v>0</v>
      </c>
      <c r="AJ184" s="20" t="str">
        <f t="shared" ref="AJ184:AJ188" si="535">IF(AG184,ROUND(AH184/AG184*100,2),0) &amp; "%"</f>
        <v>100%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194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1</v>
      </c>
      <c r="AH185" s="20">
        <v>1</v>
      </c>
      <c r="AI185" s="20">
        <v>0</v>
      </c>
      <c r="AJ185" s="20" t="str">
        <f t="shared" si="535"/>
        <v>100%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195</v>
      </c>
      <c r="B186" s="22"/>
      <c r="C186" s="22"/>
      <c r="D186" s="22"/>
      <c r="E186" s="22"/>
      <c r="F186" s="22"/>
      <c r="G186" s="22"/>
      <c r="H186" s="20">
        <f t="shared" si="526"/>
        <v>1</v>
      </c>
      <c r="I186" s="20">
        <v>1</v>
      </c>
      <c r="J186" s="20">
        <v>0</v>
      </c>
      <c r="K186" s="20" t="str">
        <f t="shared" si="527"/>
        <v>100%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2</v>
      </c>
      <c r="AH186" s="20">
        <v>2</v>
      </c>
      <c r="AI186" s="20">
        <v>0</v>
      </c>
      <c r="AJ186" s="20" t="str">
        <f t="shared" si="535"/>
        <v>100%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191</v>
      </c>
      <c r="B187" s="22"/>
      <c r="C187" s="22"/>
      <c r="D187" s="22"/>
      <c r="E187" s="22"/>
      <c r="F187" s="22"/>
      <c r="G187" s="22"/>
      <c r="H187" s="20">
        <f t="shared" si="526"/>
        <v>1</v>
      </c>
      <c r="I187" s="20">
        <v>1</v>
      </c>
      <c r="J187" s="20">
        <v>0</v>
      </c>
      <c r="K187" s="20" t="str">
        <f t="shared" si="527"/>
        <v>100%</v>
      </c>
      <c r="L187" s="22"/>
      <c r="M187" s="22"/>
      <c r="N187" s="22"/>
      <c r="O187" s="22"/>
      <c r="P187" s="22"/>
      <c r="Q187" s="22"/>
      <c r="R187" s="20">
        <f t="shared" si="528"/>
        <v>7</v>
      </c>
      <c r="S187" s="20">
        <v>5</v>
      </c>
      <c r="T187" s="20">
        <v>2</v>
      </c>
      <c r="U187" s="20" t="str">
        <f t="shared" si="529"/>
        <v>71.43%</v>
      </c>
      <c r="V187" s="22"/>
      <c r="W187" s="20">
        <f t="shared" si="530"/>
        <v>6</v>
      </c>
      <c r="X187" s="20">
        <v>5</v>
      </c>
      <c r="Y187" s="20">
        <v>1</v>
      </c>
      <c r="Z187" s="20" t="str">
        <f t="shared" si="531"/>
        <v>83.33%</v>
      </c>
      <c r="AA187" s="22"/>
      <c r="AB187" s="20">
        <f t="shared" si="532"/>
        <v>6</v>
      </c>
      <c r="AC187" s="20">
        <v>4</v>
      </c>
      <c r="AD187" s="20">
        <v>2</v>
      </c>
      <c r="AE187" s="20" t="str">
        <f t="shared" si="533"/>
        <v>66.67%</v>
      </c>
      <c r="AF187" s="22"/>
      <c r="AG187" s="20">
        <f t="shared" si="534"/>
        <v>7</v>
      </c>
      <c r="AH187" s="20">
        <v>6</v>
      </c>
      <c r="AI187" s="20">
        <v>1</v>
      </c>
      <c r="AJ187" s="20" t="str">
        <f t="shared" si="535"/>
        <v>85.71%</v>
      </c>
      <c r="AK187" s="22"/>
      <c r="AL187" s="20">
        <f t="shared" si="536"/>
        <v>5</v>
      </c>
      <c r="AM187" s="20">
        <v>4</v>
      </c>
      <c r="AN187" s="20">
        <v>1</v>
      </c>
      <c r="AO187" s="20" t="str">
        <f t="shared" si="537"/>
        <v>80%</v>
      </c>
      <c r="AP187" s="22"/>
      <c r="AQ187" s="20">
        <f t="shared" si="538"/>
        <v>4</v>
      </c>
      <c r="AR187" s="20">
        <v>1</v>
      </c>
      <c r="AS187" s="20">
        <v>3</v>
      </c>
      <c r="AT187" s="20" t="str">
        <f t="shared" si="539"/>
        <v>25%</v>
      </c>
      <c r="AU187" s="22"/>
      <c r="AV187" s="20">
        <f t="shared" si="540"/>
        <v>1</v>
      </c>
      <c r="AW187" s="20">
        <v>1</v>
      </c>
      <c r="AX187" s="20">
        <v>0</v>
      </c>
      <c r="AY187" s="20" t="str">
        <f t="shared" si="541"/>
        <v>100%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1</v>
      </c>
      <c r="BG187" s="20">
        <v>1</v>
      </c>
      <c r="BH187" s="20">
        <v>0</v>
      </c>
      <c r="BI187" s="20" t="str">
        <f t="shared" si="545"/>
        <v>100%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1</v>
      </c>
      <c r="DJ187" s="20">
        <v>1</v>
      </c>
      <c r="DK187" s="20">
        <v>0</v>
      </c>
      <c r="DL187" s="20" t="str">
        <f t="shared" si="567"/>
        <v>100%</v>
      </c>
      <c r="DM187" s="22"/>
      <c r="DN187" s="20">
        <f t="shared" si="568"/>
        <v>3</v>
      </c>
      <c r="DO187" s="20">
        <v>2</v>
      </c>
      <c r="DP187" s="20">
        <v>1</v>
      </c>
      <c r="DQ187" s="20" t="str">
        <f t="shared" si="569"/>
        <v>66.67%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3</v>
      </c>
      <c r="ED187" s="20">
        <v>0</v>
      </c>
      <c r="EE187" s="20">
        <v>3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4</v>
      </c>
      <c r="ES187" s="20">
        <v>2</v>
      </c>
      <c r="ET187" s="20">
        <v>2</v>
      </c>
      <c r="EU187" s="20" t="str">
        <f t="shared" si="581"/>
        <v>50%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198</v>
      </c>
      <c r="B188" s="22"/>
      <c r="C188" s="22"/>
      <c r="D188" s="22"/>
      <c r="E188" s="22"/>
      <c r="F188" s="22"/>
      <c r="G188" s="22"/>
      <c r="H188" s="20">
        <f>SUM(H187,H186,H185,H184,H183)</f>
        <v>3</v>
      </c>
      <c r="I188" s="20">
        <f>SUM(I187,I186,I185,I184,I183)</f>
        <v>3</v>
      </c>
      <c r="J188" s="20">
        <f>SUM(J187,J186,J185,J184,J183)</f>
        <v>0</v>
      </c>
      <c r="K188" s="20" t="str">
        <f t="shared" si="527"/>
        <v>100%</v>
      </c>
      <c r="L188" s="22"/>
      <c r="M188" s="22"/>
      <c r="N188" s="22"/>
      <c r="O188" s="22"/>
      <c r="P188" s="22"/>
      <c r="Q188" s="22"/>
      <c r="R188" s="20">
        <f>SUM(R187,R186,R185,R184,R183)</f>
        <v>7</v>
      </c>
      <c r="S188" s="20">
        <f>SUM(S187,S186,S185,S184,S183)</f>
        <v>5</v>
      </c>
      <c r="T188" s="20">
        <f>SUM(T187,T186,T185,T184,T183)</f>
        <v>2</v>
      </c>
      <c r="U188" s="20" t="str">
        <f t="shared" si="529"/>
        <v>71.43%</v>
      </c>
      <c r="V188" s="22"/>
      <c r="W188" s="20">
        <f>SUM(W187,W186,W185,W184,W183)</f>
        <v>6</v>
      </c>
      <c r="X188" s="20">
        <f>SUM(X187,X186,X185,X184,X183)</f>
        <v>5</v>
      </c>
      <c r="Y188" s="20">
        <f>SUM(Y187,Y186,Y185,Y184,Y183)</f>
        <v>1</v>
      </c>
      <c r="Z188" s="20" t="str">
        <f t="shared" si="531"/>
        <v>83.33%</v>
      </c>
      <c r="AA188" s="22"/>
      <c r="AB188" s="20">
        <f>SUM(AB187,AB186,AB185,AB184,AB183)</f>
        <v>6</v>
      </c>
      <c r="AC188" s="20">
        <f>SUM(AC187,AC186,AC185,AC184,AC183)</f>
        <v>4</v>
      </c>
      <c r="AD188" s="20">
        <f>SUM(AD187,AD186,AD185,AD184,AD183)</f>
        <v>2</v>
      </c>
      <c r="AE188" s="20" t="str">
        <f t="shared" si="533"/>
        <v>66.67%</v>
      </c>
      <c r="AF188" s="22"/>
      <c r="AG188" s="20">
        <f>SUM(AG187,AG186,AG185,AG184,AG183)</f>
        <v>11</v>
      </c>
      <c r="AH188" s="20">
        <f>SUM(AH187,AH186,AH185,AH184,AH183)</f>
        <v>10</v>
      </c>
      <c r="AI188" s="20">
        <f>SUM(AI187,AI186,AI185,AI184,AI183)</f>
        <v>1</v>
      </c>
      <c r="AJ188" s="20" t="str">
        <f t="shared" si="535"/>
        <v>90.91%</v>
      </c>
      <c r="AK188" s="22"/>
      <c r="AL188" s="20">
        <f>SUM(AL187,AL186,AL185,AL184,AL183)</f>
        <v>5</v>
      </c>
      <c r="AM188" s="20">
        <f>SUM(AM187,AM186,AM185,AM184,AM183)</f>
        <v>4</v>
      </c>
      <c r="AN188" s="20">
        <f>SUM(AN187,AN186,AN185,AN184,AN183)</f>
        <v>1</v>
      </c>
      <c r="AO188" s="20" t="str">
        <f t="shared" si="537"/>
        <v>80%</v>
      </c>
      <c r="AP188" s="22"/>
      <c r="AQ188" s="20">
        <f>SUM(AQ187,AQ186,AQ185,AQ184,AQ183)</f>
        <v>4</v>
      </c>
      <c r="AR188" s="20">
        <f>SUM(AR187,AR186,AR185,AR184,AR183)</f>
        <v>1</v>
      </c>
      <c r="AS188" s="20">
        <f>SUM(AS187,AS186,AS185,AS184,AS183)</f>
        <v>3</v>
      </c>
      <c r="AT188" s="20" t="str">
        <f t="shared" si="539"/>
        <v>25%</v>
      </c>
      <c r="AU188" s="22"/>
      <c r="AV188" s="20">
        <f>SUM(AV187,AV186,AV185,AV184,AV183)</f>
        <v>1</v>
      </c>
      <c r="AW188" s="20">
        <f>SUM(AW187,AW186,AW185,AW184,AW183)</f>
        <v>1</v>
      </c>
      <c r="AX188" s="20">
        <f>SUM(AX187,AX186,AX185,AX184,AX183)</f>
        <v>0</v>
      </c>
      <c r="AY188" s="20" t="str">
        <f t="shared" si="541"/>
        <v>100%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1</v>
      </c>
      <c r="BG188" s="20">
        <f>SUM(BG187,BG186,BG185,BG184,BG183)</f>
        <v>1</v>
      </c>
      <c r="BH188" s="20">
        <f>SUM(BH187,BH186,BH185,BH184,BH183)</f>
        <v>0</v>
      </c>
      <c r="BI188" s="20" t="str">
        <f t="shared" si="545"/>
        <v>100%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1</v>
      </c>
      <c r="DJ188" s="20">
        <f>SUM(DJ187,DJ186,DJ185,DJ184,DJ183)</f>
        <v>1</v>
      </c>
      <c r="DK188" s="20">
        <f>SUM(DK187,DK186,DK185,DK184,DK183)</f>
        <v>0</v>
      </c>
      <c r="DL188" s="20" t="str">
        <f t="shared" si="567"/>
        <v>100%</v>
      </c>
      <c r="DM188" s="22"/>
      <c r="DN188" s="20">
        <f>SUM(DN187,DN186,DN185,DN184,DN183)</f>
        <v>3</v>
      </c>
      <c r="DO188" s="20">
        <f>SUM(DO187,DO186,DO185,DO184,DO183)</f>
        <v>2</v>
      </c>
      <c r="DP188" s="20">
        <f>SUM(DP187,DP186,DP185,DP184,DP183)</f>
        <v>1</v>
      </c>
      <c r="DQ188" s="20" t="str">
        <f t="shared" si="569"/>
        <v>66.67%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3</v>
      </c>
      <c r="ED188" s="20">
        <f>SUM(ED187,ED186,ED185,ED184,ED183)</f>
        <v>0</v>
      </c>
      <c r="EE188" s="20">
        <f>SUM(EE187,EE186,EE185,EE184,EE183)</f>
        <v>3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4</v>
      </c>
      <c r="ES188" s="20">
        <f>SUM(ES187,ES186,ES185,ES184,ES183)</f>
        <v>2</v>
      </c>
      <c r="ET188" s="20">
        <f>SUM(ET187,ET186,ET185,ET184,ET183)</f>
        <v>2</v>
      </c>
      <c r="EU188" s="20" t="str">
        <f t="shared" si="581"/>
        <v>50%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196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66.67%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-25%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-16.67%</v>
      </c>
      <c r="AF189" s="22"/>
      <c r="AG189" s="22"/>
      <c r="AH189" s="22"/>
      <c r="AI189" s="22"/>
      <c r="AJ189" s="20" t="str">
        <f>(AJ186-AJ165)*100 &amp; "%"</f>
        <v>57.14%</v>
      </c>
      <c r="AK189" s="22"/>
      <c r="AL189" s="22"/>
      <c r="AM189" s="22"/>
      <c r="AN189" s="22"/>
      <c r="AO189" s="20" t="str">
        <f>(AO186-AO165)*100 &amp; "%"</f>
        <v>-33.33%</v>
      </c>
      <c r="AP189" s="22"/>
      <c r="AQ189" s="22"/>
      <c r="AR189" s="22"/>
      <c r="AS189" s="22"/>
      <c r="AT189" s="20" t="str">
        <f>(AT186-AT165)*100 &amp; "%"</f>
        <v>0%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197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20%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4.76000000000001%</v>
      </c>
      <c r="V190" s="22"/>
      <c r="W190" s="22"/>
      <c r="X190" s="22"/>
      <c r="Y190" s="22"/>
      <c r="Z190" s="20" t="str">
        <f>(Z187-Z106)*100 &amp; "%"</f>
        <v>6.41%</v>
      </c>
      <c r="AA190" s="22"/>
      <c r="AB190" s="22"/>
      <c r="AC190" s="22"/>
      <c r="AD190" s="22"/>
      <c r="AE190" s="20" t="str">
        <f>(AE187-AE106)*100 &amp; "%"</f>
        <v>-2.56000000000001%</v>
      </c>
      <c r="AF190" s="22"/>
      <c r="AG190" s="22"/>
      <c r="AH190" s="22"/>
      <c r="AI190" s="22"/>
      <c r="AJ190" s="20" t="str">
        <f>(AJ187-AJ106)*100 &amp; "%"</f>
        <v>-5.96%</v>
      </c>
      <c r="AK190" s="22"/>
      <c r="AL190" s="22"/>
      <c r="AM190" s="22"/>
      <c r="AN190" s="22"/>
      <c r="AO190" s="20" t="str">
        <f>(AO187-AO106)*100 &amp; "%"</f>
        <v>-7.5%</v>
      </c>
      <c r="AP190" s="22"/>
      <c r="AQ190" s="22"/>
      <c r="AR190" s="22"/>
      <c r="AS190" s="22"/>
      <c r="AT190" s="20" t="str">
        <f>(AT187-AT106)*100 &amp; "%"</f>
        <v>-15%</v>
      </c>
      <c r="AU190" s="22"/>
      <c r="AV190" s="22"/>
      <c r="AW190" s="22"/>
      <c r="AX190" s="22"/>
      <c r="AY190" s="20" t="str">
        <f>(AY187-AY106)*100 &amp; "%"</f>
        <v>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66.67%</v>
      </c>
      <c r="DM190" s="22"/>
      <c r="DN190" s="22"/>
      <c r="DO190" s="22"/>
      <c r="DP190" s="22"/>
      <c r="DQ190" s="20" t="str">
        <f>(DQ187-DQ106)*100 &amp; "%"</f>
        <v>0%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0%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0%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199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0.375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0.15180000000000005</v>
      </c>
      <c r="V191" s="22"/>
      <c r="W191" s="22"/>
      <c r="X191" s="22"/>
      <c r="Y191" s="22"/>
      <c r="Z191" s="23">
        <f>Z188-Z166</f>
        <v>0.20169999999999999</v>
      </c>
      <c r="AA191" s="22"/>
      <c r="AB191" s="22"/>
      <c r="AC191" s="22"/>
      <c r="AD191" s="22"/>
      <c r="AE191" s="23">
        <f>AE188-AE166</f>
        <v>0.14039999999999997</v>
      </c>
      <c r="AF191" s="22"/>
      <c r="AG191" s="22"/>
      <c r="AH191" s="22"/>
      <c r="AI191" s="22"/>
      <c r="AJ191" s="23">
        <f>AJ188-AJ166</f>
        <v>0.17230000000000001</v>
      </c>
      <c r="AK191" s="22"/>
      <c r="AL191" s="22"/>
      <c r="AM191" s="22"/>
      <c r="AN191" s="22"/>
      <c r="AO191" s="23">
        <f>AO188-AO166</f>
        <v>7.2700000000000098E-2</v>
      </c>
      <c r="AP191" s="22"/>
      <c r="AQ191" s="22"/>
      <c r="AR191" s="22"/>
      <c r="AS191" s="22"/>
      <c r="AT191" s="23">
        <f>AT188-AT166</f>
        <v>2.7799999999999991E-2</v>
      </c>
      <c r="AU191" s="22"/>
      <c r="AV191" s="22"/>
      <c r="AW191" s="22"/>
      <c r="AX191" s="22"/>
      <c r="AY191" s="23">
        <f>AY188-AY166</f>
        <v>0.66670000000000007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0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0.75</v>
      </c>
      <c r="DM191" s="22"/>
      <c r="DN191" s="22"/>
      <c r="DO191" s="22"/>
      <c r="DP191" s="22"/>
      <c r="DQ191" s="23">
        <f>DQ188-DQ166</f>
        <v>-8.3300000000000041E-2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-9.9999999999999978E-2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0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0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193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1</v>
      </c>
      <c r="AH194" s="20">
        <v>1</v>
      </c>
      <c r="AI194" s="20">
        <v>0</v>
      </c>
      <c r="AJ194" s="20" t="str">
        <f>IF(AG194,ROUND(AH194/AG194*100,2),0) &amp; "%"</f>
        <v>100%</v>
      </c>
      <c r="AK194" s="22"/>
      <c r="AL194" s="20">
        <f>SUM(AM194,AN194)</f>
        <v>1</v>
      </c>
      <c r="AM194" s="20">
        <v>1</v>
      </c>
      <c r="AN194" s="20">
        <v>0</v>
      </c>
      <c r="AO194" s="20" t="str">
        <f>IF(AL194,ROUND(AM194/AL194*100,2),0) &amp; "%"</f>
        <v>100%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192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0</v>
      </c>
      <c r="AC195" s="20">
        <v>0</v>
      </c>
      <c r="AD195" s="20">
        <v>0</v>
      </c>
      <c r="AE195" s="20" t="str">
        <f t="shared" ref="AE195:AE199" si="603">IF(AB195,ROUND(AC195/AB195*100,2),0) &amp; "%"</f>
        <v>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194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1</v>
      </c>
      <c r="AC196" s="20">
        <v>0</v>
      </c>
      <c r="AD196" s="20">
        <v>1</v>
      </c>
      <c r="AE196" s="20" t="str">
        <f t="shared" si="603"/>
        <v>0%</v>
      </c>
      <c r="AF196" s="22"/>
      <c r="AG196" s="20">
        <f t="shared" si="604"/>
        <v>1</v>
      </c>
      <c r="AH196" s="20">
        <v>0</v>
      </c>
      <c r="AI196" s="20">
        <v>1</v>
      </c>
      <c r="AJ196" s="20" t="str">
        <f t="shared" si="605"/>
        <v>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1</v>
      </c>
      <c r="DO196" s="20">
        <v>1</v>
      </c>
      <c r="DP196" s="20">
        <v>0</v>
      </c>
      <c r="DQ196" s="20" t="str">
        <f t="shared" si="639"/>
        <v>100%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195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1</v>
      </c>
      <c r="AC197" s="20">
        <v>0</v>
      </c>
      <c r="AD197" s="20">
        <v>1</v>
      </c>
      <c r="AE197" s="20" t="str">
        <f t="shared" si="603"/>
        <v>0%</v>
      </c>
      <c r="AF197" s="22"/>
      <c r="AG197" s="20">
        <f t="shared" si="604"/>
        <v>2</v>
      </c>
      <c r="AH197" s="20">
        <v>1</v>
      </c>
      <c r="AI197" s="20">
        <v>1</v>
      </c>
      <c r="AJ197" s="20" t="str">
        <f t="shared" si="605"/>
        <v>50%</v>
      </c>
      <c r="AK197" s="22"/>
      <c r="AL197" s="20">
        <f t="shared" si="606"/>
        <v>1</v>
      </c>
      <c r="AM197" s="20">
        <v>1</v>
      </c>
      <c r="AN197" s="20">
        <v>0</v>
      </c>
      <c r="AO197" s="20" t="str">
        <f t="shared" si="607"/>
        <v>100%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1</v>
      </c>
      <c r="DO197" s="20">
        <v>1</v>
      </c>
      <c r="DP197" s="20">
        <v>0</v>
      </c>
      <c r="DQ197" s="20" t="str">
        <f t="shared" si="639"/>
        <v>100%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191</v>
      </c>
      <c r="B198" s="22"/>
      <c r="C198" s="22"/>
      <c r="D198" s="22"/>
      <c r="E198" s="22"/>
      <c r="F198" s="22"/>
      <c r="G198" s="22"/>
      <c r="H198" s="20">
        <f t="shared" si="596"/>
        <v>4</v>
      </c>
      <c r="I198" s="20">
        <v>3</v>
      </c>
      <c r="J198" s="20">
        <v>1</v>
      </c>
      <c r="K198" s="20" t="str">
        <f t="shared" si="597"/>
        <v>75%</v>
      </c>
      <c r="L198" s="22"/>
      <c r="M198" s="20">
        <f t="shared" si="598"/>
        <v>7</v>
      </c>
      <c r="N198" s="20">
        <v>5</v>
      </c>
      <c r="O198" s="20">
        <v>2</v>
      </c>
      <c r="P198" s="20" t="str">
        <f t="shared" si="599"/>
        <v>71.43%</v>
      </c>
      <c r="Q198" s="22"/>
      <c r="R198" s="22"/>
      <c r="S198" s="22"/>
      <c r="T198" s="22"/>
      <c r="U198" s="22"/>
      <c r="V198" s="22"/>
      <c r="W198" s="20">
        <f t="shared" si="600"/>
        <v>7</v>
      </c>
      <c r="X198" s="20">
        <v>5</v>
      </c>
      <c r="Y198" s="20">
        <v>2</v>
      </c>
      <c r="Z198" s="20" t="str">
        <f t="shared" si="601"/>
        <v>71.43%</v>
      </c>
      <c r="AA198" s="22"/>
      <c r="AB198" s="20">
        <f t="shared" si="602"/>
        <v>10</v>
      </c>
      <c r="AC198" s="20">
        <v>7</v>
      </c>
      <c r="AD198" s="20">
        <v>3</v>
      </c>
      <c r="AE198" s="20" t="str">
        <f t="shared" si="603"/>
        <v>70%</v>
      </c>
      <c r="AF198" s="22"/>
      <c r="AG198" s="20">
        <f t="shared" si="604"/>
        <v>8</v>
      </c>
      <c r="AH198" s="20">
        <v>7</v>
      </c>
      <c r="AI198" s="20">
        <v>1</v>
      </c>
      <c r="AJ198" s="20" t="str">
        <f t="shared" si="605"/>
        <v>87.5%</v>
      </c>
      <c r="AK198" s="22"/>
      <c r="AL198" s="20">
        <f t="shared" si="606"/>
        <v>8</v>
      </c>
      <c r="AM198" s="20">
        <v>7</v>
      </c>
      <c r="AN198" s="20">
        <v>1</v>
      </c>
      <c r="AO198" s="20" t="str">
        <f t="shared" si="607"/>
        <v>87.5%</v>
      </c>
      <c r="AP198" s="22"/>
      <c r="AQ198" s="20">
        <f t="shared" si="608"/>
        <v>3</v>
      </c>
      <c r="AR198" s="20">
        <v>1</v>
      </c>
      <c r="AS198" s="20">
        <v>2</v>
      </c>
      <c r="AT198" s="20" t="str">
        <f t="shared" si="609"/>
        <v>33.33%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2</v>
      </c>
      <c r="DJ198" s="20">
        <v>0</v>
      </c>
      <c r="DK198" s="20">
        <v>2</v>
      </c>
      <c r="DL198" s="20" t="str">
        <f t="shared" si="637"/>
        <v>0%</v>
      </c>
      <c r="DM198" s="22"/>
      <c r="DN198" s="20">
        <f t="shared" si="638"/>
        <v>3</v>
      </c>
      <c r="DO198" s="20">
        <v>2</v>
      </c>
      <c r="DP198" s="20">
        <v>1</v>
      </c>
      <c r="DQ198" s="20" t="str">
        <f t="shared" si="639"/>
        <v>66.67%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2</v>
      </c>
      <c r="ED198" s="20">
        <v>0</v>
      </c>
      <c r="EE198" s="20">
        <v>2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3</v>
      </c>
      <c r="ES198" s="20">
        <v>2</v>
      </c>
      <c r="ET198" s="20">
        <v>1</v>
      </c>
      <c r="EU198" s="20" t="str">
        <f t="shared" si="651"/>
        <v>66.67%</v>
      </c>
      <c r="EV198" s="22"/>
      <c r="EW198" s="20">
        <f t="shared" si="652"/>
        <v>4</v>
      </c>
      <c r="EX198" s="20">
        <v>4</v>
      </c>
      <c r="EY198" s="20">
        <v>0</v>
      </c>
      <c r="EZ198" s="20" t="str">
        <f t="shared" si="653"/>
        <v>100%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198</v>
      </c>
      <c r="B199" s="22"/>
      <c r="C199" s="22"/>
      <c r="D199" s="22"/>
      <c r="E199" s="22"/>
      <c r="F199" s="22"/>
      <c r="G199" s="22"/>
      <c r="H199" s="20">
        <f>SUM(H198,H197,H196,H195,H194)</f>
        <v>4</v>
      </c>
      <c r="I199" s="20">
        <f>SUM(I198,I197,I196,I195,I194)</f>
        <v>3</v>
      </c>
      <c r="J199" s="20">
        <f>SUM(J198,J197,J196,J195,J194)</f>
        <v>1</v>
      </c>
      <c r="K199" s="20" t="str">
        <f t="shared" si="597"/>
        <v>75%</v>
      </c>
      <c r="L199" s="22"/>
      <c r="M199" s="20">
        <f>SUM(M198,M197,M196,M195,M194)</f>
        <v>7</v>
      </c>
      <c r="N199" s="20">
        <f>SUM(N198,N197,N196,N195,N194)</f>
        <v>5</v>
      </c>
      <c r="O199" s="20">
        <f>SUM(O198,O197,O196,O195,O194)</f>
        <v>2</v>
      </c>
      <c r="P199" s="20" t="str">
        <f t="shared" si="599"/>
        <v>71.43%</v>
      </c>
      <c r="Q199" s="22"/>
      <c r="R199" s="22"/>
      <c r="S199" s="22"/>
      <c r="T199" s="22"/>
      <c r="U199" s="22"/>
      <c r="V199" s="22"/>
      <c r="W199" s="20">
        <f>SUM(W198,W197,W196,W195,W194)</f>
        <v>7</v>
      </c>
      <c r="X199" s="20">
        <f>SUM(X198,X197,X196,X195,X194)</f>
        <v>5</v>
      </c>
      <c r="Y199" s="20">
        <f>SUM(Y198,Y197,Y196,Y195,Y194)</f>
        <v>2</v>
      </c>
      <c r="Z199" s="20" t="str">
        <f t="shared" si="601"/>
        <v>71.43%</v>
      </c>
      <c r="AA199" s="22"/>
      <c r="AB199" s="20">
        <f>SUM(AB198,AB197,AB196,AB195,AB194)</f>
        <v>12</v>
      </c>
      <c r="AC199" s="20">
        <f>SUM(AC198,AC197,AC196,AC195,AC194)</f>
        <v>7</v>
      </c>
      <c r="AD199" s="20">
        <f>SUM(AD198,AD197,AD196,AD195,AD194)</f>
        <v>5</v>
      </c>
      <c r="AE199" s="20" t="str">
        <f t="shared" si="603"/>
        <v>58.33%</v>
      </c>
      <c r="AF199" s="22"/>
      <c r="AG199" s="20">
        <f>SUM(AG198,AG197,AG196,AG195,AG194)</f>
        <v>12</v>
      </c>
      <c r="AH199" s="20">
        <f>SUM(AH198,AH197,AH196,AH195,AH194)</f>
        <v>9</v>
      </c>
      <c r="AI199" s="20">
        <f>SUM(AI198,AI197,AI196,AI195,AI194)</f>
        <v>3</v>
      </c>
      <c r="AJ199" s="20" t="str">
        <f t="shared" si="605"/>
        <v>75%</v>
      </c>
      <c r="AK199" s="22"/>
      <c r="AL199" s="20">
        <f>SUM(AL198,AL197,AL196,AL195,AL194)</f>
        <v>10</v>
      </c>
      <c r="AM199" s="20">
        <f>SUM(AM198,AM197,AM196,AM195,AM194)</f>
        <v>9</v>
      </c>
      <c r="AN199" s="20">
        <f>SUM(AN198,AN197,AN196,AN195,AN194)</f>
        <v>1</v>
      </c>
      <c r="AO199" s="20" t="str">
        <f t="shared" si="607"/>
        <v>90%</v>
      </c>
      <c r="AP199" s="22"/>
      <c r="AQ199" s="20">
        <f>SUM(AQ198,AQ197,AQ196,AQ195,AQ194)</f>
        <v>3</v>
      </c>
      <c r="AR199" s="20">
        <f>SUM(AR198,AR197,AR196,AR195,AR194)</f>
        <v>1</v>
      </c>
      <c r="AS199" s="20">
        <f>SUM(AS198,AS197,AS196,AS195,AS194)</f>
        <v>2</v>
      </c>
      <c r="AT199" s="20" t="str">
        <f t="shared" si="609"/>
        <v>33.33%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2</v>
      </c>
      <c r="DJ199" s="20">
        <f>SUM(DJ198,DJ197,DJ196,DJ195,DJ194)</f>
        <v>0</v>
      </c>
      <c r="DK199" s="20">
        <f>SUM(DK198,DK197,DK196,DK195,DK194)</f>
        <v>2</v>
      </c>
      <c r="DL199" s="20" t="str">
        <f t="shared" si="637"/>
        <v>0%</v>
      </c>
      <c r="DM199" s="22"/>
      <c r="DN199" s="20">
        <f>SUM(DN198,DN197,DN196,DN195,DN194)</f>
        <v>5</v>
      </c>
      <c r="DO199" s="20">
        <f>SUM(DO198,DO197,DO196,DO195,DO194)</f>
        <v>4</v>
      </c>
      <c r="DP199" s="20">
        <f>SUM(DP198,DP197,DP196,DP195,DP194)</f>
        <v>1</v>
      </c>
      <c r="DQ199" s="20" t="str">
        <f t="shared" si="639"/>
        <v>80%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2</v>
      </c>
      <c r="ED199" s="20">
        <f>SUM(ED198,ED197,ED196,ED195,ED194)</f>
        <v>0</v>
      </c>
      <c r="EE199" s="20">
        <f>SUM(EE198,EE197,EE196,EE195,EE194)</f>
        <v>2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3</v>
      </c>
      <c r="ES199" s="20">
        <f>SUM(ES198,ES197,ES196,ES195,ES194)</f>
        <v>2</v>
      </c>
      <c r="ET199" s="20">
        <f>SUM(ET198,ET197,ET196,ET195,ET194)</f>
        <v>1</v>
      </c>
      <c r="EU199" s="20" t="str">
        <f t="shared" si="651"/>
        <v>66.67%</v>
      </c>
      <c r="EV199" s="22"/>
      <c r="EW199" s="20">
        <f>SUM(EW198,EW197,EW196,EW195,EW194)</f>
        <v>4</v>
      </c>
      <c r="EX199" s="20">
        <f>SUM(EX198,EX197,EX196,EX195,EX194)</f>
        <v>4</v>
      </c>
      <c r="EY199" s="20">
        <f>SUM(EY198,EY197,EY196,EY195,EY194)</f>
        <v>0</v>
      </c>
      <c r="EZ199" s="20" t="str">
        <f t="shared" si="653"/>
        <v>100%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196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-16.67%</v>
      </c>
      <c r="AF200" s="22"/>
      <c r="AG200" s="22"/>
      <c r="AH200" s="22"/>
      <c r="AI200" s="22"/>
      <c r="AJ200" s="20" t="str">
        <f>(AJ197-AJ165)*100 &amp; "%"</f>
        <v>7.14%</v>
      </c>
      <c r="AK200" s="22"/>
      <c r="AL200" s="22"/>
      <c r="AM200" s="22"/>
      <c r="AN200" s="22"/>
      <c r="AO200" s="20" t="str">
        <f>(AO197-AO165)*100 &amp; "%"</f>
        <v>66.67%</v>
      </c>
      <c r="AP200" s="22"/>
      <c r="AQ200" s="22"/>
      <c r="AR200" s="22"/>
      <c r="AS200" s="22"/>
      <c r="AT200" s="20" t="str">
        <f>(AT197-AT165)*100 &amp; "%"</f>
        <v>0%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197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-5%</v>
      </c>
      <c r="L201" s="22"/>
      <c r="M201" s="22"/>
      <c r="N201" s="22"/>
      <c r="O201" s="22"/>
      <c r="P201" s="20" t="str">
        <f>(P198-P106)*100 &amp; "%"</f>
        <v>-3.57%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-5.48999999999999%</v>
      </c>
      <c r="AA201" s="22"/>
      <c r="AB201" s="22"/>
      <c r="AC201" s="22"/>
      <c r="AD201" s="22"/>
      <c r="AE201" s="20" t="str">
        <f>(AE198-AE106)*100 &amp; "%"</f>
        <v>0.769999999999993%</v>
      </c>
      <c r="AF201" s="22"/>
      <c r="AG201" s="22"/>
      <c r="AH201" s="22"/>
      <c r="AI201" s="22"/>
      <c r="AJ201" s="20" t="str">
        <f>(AJ198-AJ106)*100 &amp; "%"</f>
        <v>-4.17%</v>
      </c>
      <c r="AK201" s="22"/>
      <c r="AL201" s="22"/>
      <c r="AM201" s="22"/>
      <c r="AN201" s="22"/>
      <c r="AO201" s="20" t="str">
        <f>(AO198-AO106)*100 &amp; "%"</f>
        <v>0%</v>
      </c>
      <c r="AP201" s="22"/>
      <c r="AQ201" s="22"/>
      <c r="AR201" s="22"/>
      <c r="AS201" s="22"/>
      <c r="AT201" s="20" t="str">
        <f>(AT198-AT106)*100 &amp; "%"</f>
        <v>-6.67%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0%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16.67%</v>
      </c>
      <c r="EV201" s="22"/>
      <c r="EW201" s="22"/>
      <c r="EX201" s="22"/>
      <c r="EY201" s="22"/>
      <c r="EZ201" s="20" t="str">
        <f>(EZ198-EZ106)*100 &amp; "%"</f>
        <v>0%</v>
      </c>
      <c r="FA201" s="22"/>
      <c r="FB201" s="22"/>
      <c r="FC201" s="22"/>
      <c r="FD201" s="22"/>
      <c r="FE201" s="20" t="str">
        <f>(FE198-FE106)*100 &amp; "%"</f>
        <v>0%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0%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199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0.125</v>
      </c>
      <c r="L202" s="22"/>
      <c r="M202" s="22"/>
      <c r="N202" s="22"/>
      <c r="O202" s="22"/>
      <c r="P202" s="23">
        <f>P199-P166</f>
        <v>-7.1399999999999908E-2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8.2699999999999996E-2</v>
      </c>
      <c r="AA202" s="22"/>
      <c r="AB202" s="22"/>
      <c r="AC202" s="22"/>
      <c r="AD202" s="22"/>
      <c r="AE202" s="23">
        <f>AE199-AE166</f>
        <v>5.7000000000000051E-2</v>
      </c>
      <c r="AF202" s="22"/>
      <c r="AG202" s="22"/>
      <c r="AH202" s="22"/>
      <c r="AI202" s="22"/>
      <c r="AJ202" s="23">
        <f>AJ199-AJ166</f>
        <v>1.319999999999999E-2</v>
      </c>
      <c r="AK202" s="22"/>
      <c r="AL202" s="22"/>
      <c r="AM202" s="22"/>
      <c r="AN202" s="22"/>
      <c r="AO202" s="23">
        <f>AO199-AO166</f>
        <v>0.17270000000000008</v>
      </c>
      <c r="AP202" s="22"/>
      <c r="AQ202" s="22"/>
      <c r="AR202" s="22"/>
      <c r="AS202" s="22"/>
      <c r="AT202" s="23">
        <f>AT199-AT166</f>
        <v>0.11109999999999998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5.0000000000000044E-2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6.6699999999999982E-2</v>
      </c>
      <c r="EV202" s="22"/>
      <c r="EW202" s="22"/>
      <c r="EX202" s="22"/>
      <c r="EY202" s="22"/>
      <c r="EZ202" s="23">
        <f>EZ199-EZ166</f>
        <v>0</v>
      </c>
      <c r="FA202" s="22"/>
      <c r="FB202" s="22"/>
      <c r="FC202" s="22"/>
      <c r="FD202" s="22"/>
      <c r="FE202" s="23">
        <f>FE199-FE166</f>
        <v>0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0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193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1</v>
      </c>
      <c r="ES205" s="20">
        <v>1</v>
      </c>
      <c r="ET205" s="20">
        <v>0</v>
      </c>
      <c r="EU205" s="20" t="str">
        <f>IF(ER205,ROUND(ES205/ER205*100,2),0) &amp; "%"</f>
        <v>100%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192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1</v>
      </c>
      <c r="AH206" s="20">
        <v>1</v>
      </c>
      <c r="AI206" s="20">
        <v>0</v>
      </c>
      <c r="AJ206" s="20" t="str">
        <f t="shared" ref="AJ206:AJ210" si="675">IF(AG206,ROUND(AH206/AG206*100,2),0) &amp; "%"</f>
        <v>100%</v>
      </c>
      <c r="AK206" s="22"/>
      <c r="AL206" s="20">
        <f t="shared" ref="AL206:AL209" si="676">SUM(AM206,AN206)</f>
        <v>1</v>
      </c>
      <c r="AM206" s="20">
        <v>1</v>
      </c>
      <c r="AN206" s="20">
        <v>0</v>
      </c>
      <c r="AO206" s="20" t="str">
        <f t="shared" ref="AO206:AO210" si="677">IF(AL206,ROUND(AM206/AL206*100,2),0) &amp; "%"</f>
        <v>100%</v>
      </c>
      <c r="AP206" s="22"/>
      <c r="AQ206" s="20">
        <f t="shared" ref="AQ206:AQ209" si="678">SUM(AR206,AS206)</f>
        <v>1</v>
      </c>
      <c r="AR206" s="20">
        <v>0</v>
      </c>
      <c r="AS206" s="20">
        <v>1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194</v>
      </c>
      <c r="B207" s="22"/>
      <c r="C207" s="22"/>
      <c r="D207" s="22"/>
      <c r="E207" s="22"/>
      <c r="F207" s="22"/>
      <c r="G207" s="22"/>
      <c r="H207" s="20">
        <f t="shared" si="666"/>
        <v>1</v>
      </c>
      <c r="I207" s="20">
        <v>0</v>
      </c>
      <c r="J207" s="20">
        <v>1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2</v>
      </c>
      <c r="AC207" s="20">
        <v>1</v>
      </c>
      <c r="AD207" s="20">
        <v>1</v>
      </c>
      <c r="AE207" s="20" t="str">
        <f t="shared" si="673"/>
        <v>50%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0</v>
      </c>
      <c r="AR207" s="20">
        <v>0</v>
      </c>
      <c r="AS207" s="20">
        <v>0</v>
      </c>
      <c r="AT207" s="20" t="str">
        <f t="shared" si="679"/>
        <v>0%</v>
      </c>
      <c r="AU207" s="22"/>
      <c r="AV207" s="20">
        <f t="shared" si="680"/>
        <v>1</v>
      </c>
      <c r="AW207" s="20">
        <v>0</v>
      </c>
      <c r="AX207" s="20">
        <v>1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195</v>
      </c>
      <c r="B208" s="22"/>
      <c r="C208" s="22"/>
      <c r="D208" s="22"/>
      <c r="E208" s="22"/>
      <c r="F208" s="22"/>
      <c r="G208" s="22"/>
      <c r="H208" s="20">
        <f t="shared" si="666"/>
        <v>1</v>
      </c>
      <c r="I208" s="20">
        <v>0</v>
      </c>
      <c r="J208" s="20">
        <v>1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2</v>
      </c>
      <c r="AC208" s="20">
        <v>1</v>
      </c>
      <c r="AD208" s="20">
        <v>1</v>
      </c>
      <c r="AE208" s="20" t="str">
        <f t="shared" si="673"/>
        <v>50%</v>
      </c>
      <c r="AF208" s="22"/>
      <c r="AG208" s="20">
        <f t="shared" si="674"/>
        <v>1</v>
      </c>
      <c r="AH208" s="20">
        <v>1</v>
      </c>
      <c r="AI208" s="20">
        <v>0</v>
      </c>
      <c r="AJ208" s="20" t="str">
        <f t="shared" si="675"/>
        <v>100%</v>
      </c>
      <c r="AK208" s="22"/>
      <c r="AL208" s="20">
        <f t="shared" si="676"/>
        <v>1</v>
      </c>
      <c r="AM208" s="20">
        <v>1</v>
      </c>
      <c r="AN208" s="20">
        <v>0</v>
      </c>
      <c r="AO208" s="20" t="str">
        <f t="shared" si="677"/>
        <v>100%</v>
      </c>
      <c r="AP208" s="22"/>
      <c r="AQ208" s="20">
        <f t="shared" si="678"/>
        <v>1</v>
      </c>
      <c r="AR208" s="20">
        <v>0</v>
      </c>
      <c r="AS208" s="20">
        <v>1</v>
      </c>
      <c r="AT208" s="20" t="str">
        <f t="shared" si="679"/>
        <v>0%</v>
      </c>
      <c r="AU208" s="22"/>
      <c r="AV208" s="20">
        <f t="shared" si="680"/>
        <v>1</v>
      </c>
      <c r="AW208" s="20">
        <v>0</v>
      </c>
      <c r="AX208" s="20">
        <v>1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1</v>
      </c>
      <c r="ES208" s="20">
        <v>1</v>
      </c>
      <c r="ET208" s="20">
        <v>0</v>
      </c>
      <c r="EU208" s="20" t="str">
        <f t="shared" si="721"/>
        <v>100%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191</v>
      </c>
      <c r="B209" s="22"/>
      <c r="C209" s="22"/>
      <c r="D209" s="22"/>
      <c r="E209" s="22"/>
      <c r="F209" s="22"/>
      <c r="G209" s="22"/>
      <c r="H209" s="20">
        <f t="shared" si="666"/>
        <v>4</v>
      </c>
      <c r="I209" s="20">
        <v>3</v>
      </c>
      <c r="J209" s="20">
        <v>1</v>
      </c>
      <c r="K209" s="20" t="str">
        <f t="shared" si="667"/>
        <v>75%</v>
      </c>
      <c r="L209" s="22"/>
      <c r="M209" s="20">
        <f t="shared" si="668"/>
        <v>6</v>
      </c>
      <c r="N209" s="20">
        <v>5</v>
      </c>
      <c r="O209" s="20">
        <v>1</v>
      </c>
      <c r="P209" s="20" t="str">
        <f t="shared" si="669"/>
        <v>83.33%</v>
      </c>
      <c r="Q209" s="22"/>
      <c r="R209" s="20">
        <f t="shared" si="670"/>
        <v>7</v>
      </c>
      <c r="S209" s="20">
        <v>5</v>
      </c>
      <c r="T209" s="20">
        <v>2</v>
      </c>
      <c r="U209" s="20" t="str">
        <f t="shared" si="671"/>
        <v>71.43%</v>
      </c>
      <c r="V209" s="22"/>
      <c r="W209" s="22"/>
      <c r="X209" s="22"/>
      <c r="Y209" s="22"/>
      <c r="Z209" s="22"/>
      <c r="AA209" s="22"/>
      <c r="AB209" s="20">
        <f t="shared" si="672"/>
        <v>8</v>
      </c>
      <c r="AC209" s="20">
        <v>5</v>
      </c>
      <c r="AD209" s="20">
        <v>3</v>
      </c>
      <c r="AE209" s="20" t="str">
        <f t="shared" si="673"/>
        <v>62.5%</v>
      </c>
      <c r="AF209" s="22"/>
      <c r="AG209" s="20">
        <f t="shared" si="674"/>
        <v>4</v>
      </c>
      <c r="AH209" s="20">
        <v>4</v>
      </c>
      <c r="AI209" s="20">
        <v>0</v>
      </c>
      <c r="AJ209" s="20" t="str">
        <f t="shared" si="675"/>
        <v>100%</v>
      </c>
      <c r="AK209" s="22"/>
      <c r="AL209" s="20">
        <f t="shared" si="676"/>
        <v>4</v>
      </c>
      <c r="AM209" s="20">
        <v>4</v>
      </c>
      <c r="AN209" s="20">
        <v>0</v>
      </c>
      <c r="AO209" s="20" t="str">
        <f t="shared" si="677"/>
        <v>100%</v>
      </c>
      <c r="AP209" s="22"/>
      <c r="AQ209" s="20">
        <f t="shared" si="678"/>
        <v>1</v>
      </c>
      <c r="AR209" s="20">
        <v>0</v>
      </c>
      <c r="AS209" s="20">
        <v>1</v>
      </c>
      <c r="AT209" s="20" t="str">
        <f t="shared" si="679"/>
        <v>0%</v>
      </c>
      <c r="AU209" s="22"/>
      <c r="AV209" s="20">
        <f t="shared" si="680"/>
        <v>1</v>
      </c>
      <c r="AW209" s="20">
        <v>1</v>
      </c>
      <c r="AX209" s="20">
        <v>0</v>
      </c>
      <c r="AY209" s="20" t="str">
        <f t="shared" si="681"/>
        <v>100%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1</v>
      </c>
      <c r="BG209" s="20">
        <v>1</v>
      </c>
      <c r="BH209" s="20">
        <v>0</v>
      </c>
      <c r="BI209" s="20" t="str">
        <f t="shared" si="685"/>
        <v>100%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3</v>
      </c>
      <c r="DJ209" s="20">
        <v>1</v>
      </c>
      <c r="DK209" s="20">
        <v>2</v>
      </c>
      <c r="DL209" s="20" t="str">
        <f t="shared" si="707"/>
        <v>33.33%</v>
      </c>
      <c r="DM209" s="22"/>
      <c r="DN209" s="20">
        <f t="shared" si="708"/>
        <v>1</v>
      </c>
      <c r="DO209" s="20">
        <v>1</v>
      </c>
      <c r="DP209" s="20">
        <v>0</v>
      </c>
      <c r="DQ209" s="20" t="str">
        <f t="shared" si="709"/>
        <v>100%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1</v>
      </c>
      <c r="ED209" s="20">
        <v>0</v>
      </c>
      <c r="EE209" s="20">
        <v>1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2</v>
      </c>
      <c r="ES209" s="20">
        <v>1</v>
      </c>
      <c r="ET209" s="20">
        <v>1</v>
      </c>
      <c r="EU209" s="20" t="str">
        <f t="shared" si="721"/>
        <v>50%</v>
      </c>
      <c r="EV209" s="22"/>
      <c r="EW209" s="20">
        <f t="shared" si="722"/>
        <v>2</v>
      </c>
      <c r="EX209" s="20">
        <v>2</v>
      </c>
      <c r="EY209" s="20">
        <v>0</v>
      </c>
      <c r="EZ209" s="20" t="str">
        <f t="shared" si="723"/>
        <v>100%</v>
      </c>
      <c r="FA209" s="22"/>
      <c r="FB209" s="20">
        <f t="shared" si="724"/>
        <v>0</v>
      </c>
      <c r="FC209" s="20">
        <v>0</v>
      </c>
      <c r="FD209" s="20">
        <v>0</v>
      </c>
      <c r="FE209" s="20" t="str">
        <f t="shared" si="725"/>
        <v>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0</v>
      </c>
      <c r="FR209" s="20">
        <v>0</v>
      </c>
      <c r="FS209" s="20">
        <v>0</v>
      </c>
      <c r="FT209" s="20" t="str">
        <f t="shared" si="731"/>
        <v>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198</v>
      </c>
      <c r="B210" s="22"/>
      <c r="C210" s="22"/>
      <c r="D210" s="22"/>
      <c r="E210" s="22"/>
      <c r="F210" s="22"/>
      <c r="G210" s="22"/>
      <c r="H210" s="20">
        <f>SUM(H209,H208,H207,H206,H205)</f>
        <v>6</v>
      </c>
      <c r="I210" s="20">
        <f>SUM(I209,I208,I207,I206,I205)</f>
        <v>3</v>
      </c>
      <c r="J210" s="20">
        <f>SUM(J209,J208,J207,J206,J205)</f>
        <v>3</v>
      </c>
      <c r="K210" s="20" t="str">
        <f t="shared" si="667"/>
        <v>50%</v>
      </c>
      <c r="L210" s="22"/>
      <c r="M210" s="20">
        <f>SUM(M209,M208,M207,M206,M205)</f>
        <v>6</v>
      </c>
      <c r="N210" s="20">
        <f>SUM(N209,N208,N207,N206,N205)</f>
        <v>5</v>
      </c>
      <c r="O210" s="20">
        <f>SUM(O209,O208,O207,O206,O205)</f>
        <v>1</v>
      </c>
      <c r="P210" s="20" t="str">
        <f t="shared" si="669"/>
        <v>83.33%</v>
      </c>
      <c r="Q210" s="22"/>
      <c r="R210" s="20">
        <f>SUM(R209,R208,R207,R206,R205)</f>
        <v>7</v>
      </c>
      <c r="S210" s="20">
        <f>SUM(S209,S208,S207,S206,S205)</f>
        <v>5</v>
      </c>
      <c r="T210" s="20">
        <f>SUM(T209,T208,T207,T206,T205)</f>
        <v>2</v>
      </c>
      <c r="U210" s="20" t="str">
        <f t="shared" si="671"/>
        <v>71.43%</v>
      </c>
      <c r="V210" s="22"/>
      <c r="W210" s="22"/>
      <c r="X210" s="22"/>
      <c r="Y210" s="22"/>
      <c r="Z210" s="22"/>
      <c r="AA210" s="22"/>
      <c r="AB210" s="20">
        <f>SUM(AB209,AB208,AB207,AB206,AB205)</f>
        <v>12</v>
      </c>
      <c r="AC210" s="20">
        <f>SUM(AC209,AC208,AC207,AC206,AC205)</f>
        <v>7</v>
      </c>
      <c r="AD210" s="20">
        <f>SUM(AD209,AD208,AD207,AD206,AD205)</f>
        <v>5</v>
      </c>
      <c r="AE210" s="20" t="str">
        <f t="shared" si="673"/>
        <v>58.33%</v>
      </c>
      <c r="AF210" s="22"/>
      <c r="AG210" s="20">
        <f>SUM(AG209,AG208,AG207,AG206,AG205)</f>
        <v>6</v>
      </c>
      <c r="AH210" s="20">
        <f>SUM(AH209,AH208,AH207,AH206,AH205)</f>
        <v>6</v>
      </c>
      <c r="AI210" s="20">
        <f>SUM(AI209,AI208,AI207,AI206,AI205)</f>
        <v>0</v>
      </c>
      <c r="AJ210" s="20" t="str">
        <f t="shared" si="675"/>
        <v>100%</v>
      </c>
      <c r="AK210" s="22"/>
      <c r="AL210" s="20">
        <f>SUM(AL209,AL208,AL207,AL206,AL205)</f>
        <v>6</v>
      </c>
      <c r="AM210" s="20">
        <f>SUM(AM209,AM208,AM207,AM206,AM205)</f>
        <v>6</v>
      </c>
      <c r="AN210" s="20">
        <f>SUM(AN209,AN208,AN207,AN206,AN205)</f>
        <v>0</v>
      </c>
      <c r="AO210" s="20" t="str">
        <f t="shared" si="677"/>
        <v>100%</v>
      </c>
      <c r="AP210" s="22"/>
      <c r="AQ210" s="20">
        <f>SUM(AQ209,AQ208,AQ207,AQ206,AQ205)</f>
        <v>3</v>
      </c>
      <c r="AR210" s="20">
        <f>SUM(AR209,AR208,AR207,AR206,AR205)</f>
        <v>0</v>
      </c>
      <c r="AS210" s="20">
        <f>SUM(AS209,AS208,AS207,AS206,AS205)</f>
        <v>3</v>
      </c>
      <c r="AT210" s="20" t="str">
        <f t="shared" si="679"/>
        <v>0%</v>
      </c>
      <c r="AU210" s="22"/>
      <c r="AV210" s="20">
        <f>SUM(AV209,AV208,AV207,AV206,AV205)</f>
        <v>3</v>
      </c>
      <c r="AW210" s="20">
        <f>SUM(AW209,AW208,AW207,AW206,AW205)</f>
        <v>1</v>
      </c>
      <c r="AX210" s="20">
        <f>SUM(AX209,AX208,AX207,AX206,AX205)</f>
        <v>2</v>
      </c>
      <c r="AY210" s="20" t="str">
        <f t="shared" si="681"/>
        <v>33.33%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1</v>
      </c>
      <c r="BG210" s="20">
        <f>SUM(BG209,BG208,BG207,BG206,BG205)</f>
        <v>1</v>
      </c>
      <c r="BH210" s="20">
        <f>SUM(BH209,BH208,BH207,BH206,BH205)</f>
        <v>0</v>
      </c>
      <c r="BI210" s="20" t="str">
        <f t="shared" si="685"/>
        <v>100%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3</v>
      </c>
      <c r="DJ210" s="20">
        <f>SUM(DJ209,DJ208,DJ207,DJ206,DJ205)</f>
        <v>1</v>
      </c>
      <c r="DK210" s="20">
        <f>SUM(DK209,DK208,DK207,DK206,DK205)</f>
        <v>2</v>
      </c>
      <c r="DL210" s="20" t="str">
        <f t="shared" si="707"/>
        <v>33.33%</v>
      </c>
      <c r="DM210" s="22"/>
      <c r="DN210" s="20">
        <f>SUM(DN209,DN208,DN207,DN206,DN205)</f>
        <v>1</v>
      </c>
      <c r="DO210" s="20">
        <f>SUM(DO209,DO208,DO207,DO206,DO205)</f>
        <v>1</v>
      </c>
      <c r="DP210" s="20">
        <f>SUM(DP209,DP208,DP207,DP206,DP205)</f>
        <v>0</v>
      </c>
      <c r="DQ210" s="20" t="str">
        <f t="shared" si="709"/>
        <v>100%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1</v>
      </c>
      <c r="ED210" s="20">
        <f>SUM(ED209,ED208,ED207,ED206,ED205)</f>
        <v>0</v>
      </c>
      <c r="EE210" s="20">
        <f>SUM(EE209,EE208,EE207,EE206,EE205)</f>
        <v>1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4</v>
      </c>
      <c r="ES210" s="20">
        <f>SUM(ES209,ES208,ES207,ES206,ES205)</f>
        <v>3</v>
      </c>
      <c r="ET210" s="20">
        <f>SUM(ET209,ET208,ET207,ET206,ET205)</f>
        <v>1</v>
      </c>
      <c r="EU210" s="20" t="str">
        <f t="shared" si="721"/>
        <v>75%</v>
      </c>
      <c r="EV210" s="22"/>
      <c r="EW210" s="20">
        <f>SUM(EW209,EW208,EW207,EW206,EW205)</f>
        <v>2</v>
      </c>
      <c r="EX210" s="20">
        <f>SUM(EX209,EX208,EX207,EX206,EX205)</f>
        <v>2</v>
      </c>
      <c r="EY210" s="20">
        <f>SUM(EY209,EY208,EY207,EY206,EY205)</f>
        <v>0</v>
      </c>
      <c r="EZ210" s="20" t="str">
        <f t="shared" si="723"/>
        <v>100%</v>
      </c>
      <c r="FA210" s="22"/>
      <c r="FB210" s="20">
        <f>SUM(FB209,FB208,FB207,FB206,FB205)</f>
        <v>0</v>
      </c>
      <c r="FC210" s="20">
        <f>SUM(FC209,FC208,FC207,FC206,FC205)</f>
        <v>0</v>
      </c>
      <c r="FD210" s="20">
        <f>SUM(FD209,FD208,FD207,FD206,FD205)</f>
        <v>0</v>
      </c>
      <c r="FE210" s="20" t="str">
        <f t="shared" si="725"/>
        <v>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0</v>
      </c>
      <c r="FR210" s="20">
        <f>SUM(FR209,FR208,FR207,FR206,FR205)</f>
        <v>0</v>
      </c>
      <c r="FS210" s="20">
        <f>SUM(FS209,FS208,FS207,FS206,FS205)</f>
        <v>0</v>
      </c>
      <c r="FT210" s="20" t="str">
        <f t="shared" si="731"/>
        <v>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196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-25%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33.33%</v>
      </c>
      <c r="AF211" s="22"/>
      <c r="AG211" s="22"/>
      <c r="AH211" s="22"/>
      <c r="AI211" s="22"/>
      <c r="AJ211" s="20" t="str">
        <f>(AJ208-AJ165)*100 &amp; "%"</f>
        <v>57.14%</v>
      </c>
      <c r="AK211" s="22"/>
      <c r="AL211" s="22"/>
      <c r="AM211" s="22"/>
      <c r="AN211" s="22"/>
      <c r="AO211" s="20" t="str">
        <f>(AO208-AO165)*100 &amp; "%"</f>
        <v>66.67%</v>
      </c>
      <c r="AP211" s="22"/>
      <c r="AQ211" s="22"/>
      <c r="AR211" s="22"/>
      <c r="AS211" s="22"/>
      <c r="AT211" s="20" t="str">
        <f>(AT208-AT165)*100 &amp; "%"</f>
        <v>0%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197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-5%</v>
      </c>
      <c r="L212" s="22"/>
      <c r="M212" s="22"/>
      <c r="N212" s="22"/>
      <c r="O212" s="22"/>
      <c r="P212" s="20" t="str">
        <f>(P209-P106)*100 &amp; "%"</f>
        <v>8.33%</v>
      </c>
      <c r="Q212" s="22"/>
      <c r="R212" s="22"/>
      <c r="S212" s="22"/>
      <c r="T212" s="22"/>
      <c r="U212" s="20" t="str">
        <f>(U209-U106)*100 &amp; "%"</f>
        <v>4.76000000000001%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-6.73%</v>
      </c>
      <c r="AF212" s="22"/>
      <c r="AG212" s="22"/>
      <c r="AH212" s="22"/>
      <c r="AI212" s="22"/>
      <c r="AJ212" s="20" t="str">
        <f>(AJ209-AJ106)*100 &amp; "%"</f>
        <v>8.33%</v>
      </c>
      <c r="AK212" s="22"/>
      <c r="AL212" s="22"/>
      <c r="AM212" s="22"/>
      <c r="AN212" s="22"/>
      <c r="AO212" s="20" t="str">
        <f>(AO209-AO106)*100 &amp; "%"</f>
        <v>12.5%</v>
      </c>
      <c r="AP212" s="22"/>
      <c r="AQ212" s="22"/>
      <c r="AR212" s="22"/>
      <c r="AS212" s="22"/>
      <c r="AT212" s="20" t="str">
        <f>(AT209-AT106)*100 &amp; "%"</f>
        <v>-40%</v>
      </c>
      <c r="AU212" s="22"/>
      <c r="AV212" s="22"/>
      <c r="AW212" s="22"/>
      <c r="AX212" s="22"/>
      <c r="AY212" s="20" t="str">
        <f>(AY209-AY106)*100 &amp; "%"</f>
        <v>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0%</v>
      </c>
      <c r="DM212" s="22"/>
      <c r="DN212" s="22"/>
      <c r="DO212" s="22"/>
      <c r="DP212" s="22"/>
      <c r="DQ212" s="20" t="str">
        <f>(DQ209-DQ106)*100 &amp; "%"</f>
        <v>33.33%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0%</v>
      </c>
      <c r="EV212" s="22"/>
      <c r="EW212" s="22"/>
      <c r="EX212" s="22"/>
      <c r="EY212" s="22"/>
      <c r="EZ212" s="20" t="str">
        <f>(EZ209-EZ106)*100 &amp; "%"</f>
        <v>0%</v>
      </c>
      <c r="FA212" s="22"/>
      <c r="FB212" s="22"/>
      <c r="FC212" s="22"/>
      <c r="FD212" s="22"/>
      <c r="FE212" s="20" t="str">
        <f>(FE209-FE106)*100 &amp; "%"</f>
        <v>0%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0%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199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-0.125</v>
      </c>
      <c r="L213" s="22"/>
      <c r="M213" s="22"/>
      <c r="N213" s="22"/>
      <c r="O213" s="22"/>
      <c r="P213" s="23">
        <f>P210-P166</f>
        <v>4.7600000000000087E-2</v>
      </c>
      <c r="Q213" s="22"/>
      <c r="R213" s="22"/>
      <c r="S213" s="22"/>
      <c r="T213" s="22"/>
      <c r="U213" s="23">
        <f>U210-U166</f>
        <v>0.15180000000000005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5.7000000000000051E-2</v>
      </c>
      <c r="AF213" s="22"/>
      <c r="AG213" s="22"/>
      <c r="AH213" s="22"/>
      <c r="AI213" s="22"/>
      <c r="AJ213" s="23">
        <f>AJ210-AJ166</f>
        <v>0.26319999999999999</v>
      </c>
      <c r="AK213" s="22"/>
      <c r="AL213" s="22"/>
      <c r="AM213" s="22"/>
      <c r="AN213" s="22"/>
      <c r="AO213" s="23">
        <f>AO210-AO166</f>
        <v>0.27270000000000005</v>
      </c>
      <c r="AP213" s="22"/>
      <c r="AQ213" s="22"/>
      <c r="AR213" s="22"/>
      <c r="AS213" s="22"/>
      <c r="AT213" s="23">
        <f>AT210-AT166</f>
        <v>-0.22220000000000001</v>
      </c>
      <c r="AU213" s="22"/>
      <c r="AV213" s="22"/>
      <c r="AW213" s="22"/>
      <c r="AX213" s="22"/>
      <c r="AY213" s="23">
        <f>AY210-AY166</f>
        <v>0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0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8.3299999999999985E-2</v>
      </c>
      <c r="DM213" s="22"/>
      <c r="DN213" s="22"/>
      <c r="DO213" s="22"/>
      <c r="DP213" s="22"/>
      <c r="DQ213" s="23">
        <f>DQ210-DQ166</f>
        <v>0.25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0.15000000000000002</v>
      </c>
      <c r="EV213" s="22"/>
      <c r="EW213" s="22"/>
      <c r="EX213" s="22"/>
      <c r="EY213" s="22"/>
      <c r="EZ213" s="23">
        <f>EZ210-EZ166</f>
        <v>0</v>
      </c>
      <c r="FA213" s="22"/>
      <c r="FB213" s="22"/>
      <c r="FC213" s="22"/>
      <c r="FD213" s="22"/>
      <c r="FE213" s="23">
        <f>FE210-FE166</f>
        <v>0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193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1</v>
      </c>
      <c r="AW216" s="20">
        <v>0</v>
      </c>
      <c r="AX216" s="20">
        <v>1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192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1</v>
      </c>
      <c r="S217" s="20">
        <v>0</v>
      </c>
      <c r="T217" s="20">
        <v>1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2</v>
      </c>
      <c r="X217" s="20">
        <v>1</v>
      </c>
      <c r="Y217" s="20">
        <v>1</v>
      </c>
      <c r="Z217" s="20" t="str">
        <f t="shared" ref="Z217:Z221" si="743">IF(W217,ROUND(X217/W217*100,2),0) &amp; "%"</f>
        <v>50%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0</v>
      </c>
      <c r="AR217" s="20">
        <v>0</v>
      </c>
      <c r="AS217" s="20">
        <v>0</v>
      </c>
      <c r="AT217" s="20" t="str">
        <f t="shared" ref="AT217:AT221" si="749">IF(AQ217,ROUND(AR217/AQ217*100,2),0) &amp; "%"</f>
        <v>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1</v>
      </c>
      <c r="ES217" s="20">
        <v>1</v>
      </c>
      <c r="ET217" s="20">
        <v>0</v>
      </c>
      <c r="EU217" s="20" t="str">
        <f t="shared" ref="EU217:EU221" si="791">IF(ER217,ROUND(ES217/ER217*100,2),0) &amp; "%"</f>
        <v>100%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194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0</v>
      </c>
      <c r="S218" s="20">
        <v>0</v>
      </c>
      <c r="T218" s="20">
        <v>0</v>
      </c>
      <c r="U218" s="20" t="str">
        <f t="shared" si="741"/>
        <v>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1</v>
      </c>
      <c r="GB218" s="20">
        <v>0</v>
      </c>
      <c r="GC218" s="20">
        <v>1</v>
      </c>
      <c r="GD218" s="20" t="str">
        <f t="shared" si="805"/>
        <v>0%</v>
      </c>
      <c r="GE218" s="3"/>
    </row>
    <row r="219" spans="1:187" x14ac:dyDescent="0.25">
      <c r="A219" s="21" t="s">
        <v>195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1</v>
      </c>
      <c r="S219" s="20">
        <v>0</v>
      </c>
      <c r="T219" s="20">
        <v>1</v>
      </c>
      <c r="U219" s="20" t="str">
        <f t="shared" si="741"/>
        <v>0%</v>
      </c>
      <c r="V219" s="22"/>
      <c r="W219" s="20">
        <f t="shared" si="742"/>
        <v>2</v>
      </c>
      <c r="X219" s="20">
        <v>1</v>
      </c>
      <c r="Y219" s="20">
        <v>1</v>
      </c>
      <c r="Z219" s="20" t="str">
        <f t="shared" si="743"/>
        <v>50%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0</v>
      </c>
      <c r="AR219" s="20">
        <v>0</v>
      </c>
      <c r="AS219" s="20">
        <v>0</v>
      </c>
      <c r="AT219" s="20" t="str">
        <f t="shared" si="749"/>
        <v>0%</v>
      </c>
      <c r="AU219" s="22"/>
      <c r="AV219" s="20">
        <f t="shared" si="750"/>
        <v>1</v>
      </c>
      <c r="AW219" s="20">
        <v>0</v>
      </c>
      <c r="AX219" s="20">
        <v>1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1</v>
      </c>
      <c r="ES219" s="20">
        <v>1</v>
      </c>
      <c r="ET219" s="20">
        <v>0</v>
      </c>
      <c r="EU219" s="20" t="str">
        <f t="shared" si="791"/>
        <v>100%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1</v>
      </c>
      <c r="GB219" s="20">
        <v>0</v>
      </c>
      <c r="GC219" s="20">
        <v>1</v>
      </c>
      <c r="GD219" s="20" t="str">
        <f t="shared" si="805"/>
        <v>0%</v>
      </c>
      <c r="GE219" s="3"/>
    </row>
    <row r="220" spans="1:187" x14ac:dyDescent="0.25">
      <c r="A220" s="21" t="s">
        <v>191</v>
      </c>
      <c r="B220" s="22"/>
      <c r="C220" s="22"/>
      <c r="D220" s="22"/>
      <c r="E220" s="22"/>
      <c r="F220" s="22"/>
      <c r="G220" s="22"/>
      <c r="H220" s="20">
        <f t="shared" si="736"/>
        <v>5</v>
      </c>
      <c r="I220" s="20">
        <v>4</v>
      </c>
      <c r="J220" s="20">
        <v>1</v>
      </c>
      <c r="K220" s="20" t="str">
        <f t="shared" si="737"/>
        <v>80%</v>
      </c>
      <c r="L220" s="22"/>
      <c r="M220" s="20">
        <f t="shared" si="738"/>
        <v>6</v>
      </c>
      <c r="N220" s="20">
        <v>4</v>
      </c>
      <c r="O220" s="20">
        <v>2</v>
      </c>
      <c r="P220" s="20" t="str">
        <f t="shared" si="739"/>
        <v>66.67%</v>
      </c>
      <c r="Q220" s="22"/>
      <c r="R220" s="20">
        <f t="shared" si="740"/>
        <v>10</v>
      </c>
      <c r="S220" s="20">
        <v>7</v>
      </c>
      <c r="T220" s="20">
        <v>3</v>
      </c>
      <c r="U220" s="20" t="str">
        <f t="shared" si="741"/>
        <v>70%</v>
      </c>
      <c r="V220" s="22"/>
      <c r="W220" s="20">
        <f t="shared" si="742"/>
        <v>8</v>
      </c>
      <c r="X220" s="20">
        <v>5</v>
      </c>
      <c r="Y220" s="20">
        <v>3</v>
      </c>
      <c r="Z220" s="20" t="str">
        <f t="shared" si="743"/>
        <v>62.5%</v>
      </c>
      <c r="AA220" s="22"/>
      <c r="AB220" s="22"/>
      <c r="AC220" s="22"/>
      <c r="AD220" s="22"/>
      <c r="AE220" s="22"/>
      <c r="AF220" s="22"/>
      <c r="AG220" s="20">
        <f t="shared" si="744"/>
        <v>5</v>
      </c>
      <c r="AH220" s="20">
        <v>5</v>
      </c>
      <c r="AI220" s="20">
        <v>0</v>
      </c>
      <c r="AJ220" s="20" t="str">
        <f t="shared" si="745"/>
        <v>100%</v>
      </c>
      <c r="AK220" s="22"/>
      <c r="AL220" s="20">
        <f t="shared" si="746"/>
        <v>5</v>
      </c>
      <c r="AM220" s="20">
        <v>5</v>
      </c>
      <c r="AN220" s="20">
        <v>0</v>
      </c>
      <c r="AO220" s="20" t="str">
        <f t="shared" si="747"/>
        <v>100%</v>
      </c>
      <c r="AP220" s="22"/>
      <c r="AQ220" s="20">
        <f t="shared" si="748"/>
        <v>2</v>
      </c>
      <c r="AR220" s="20">
        <v>0</v>
      </c>
      <c r="AS220" s="20">
        <v>2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1</v>
      </c>
      <c r="BG220" s="20">
        <v>1</v>
      </c>
      <c r="BH220" s="20">
        <v>0</v>
      </c>
      <c r="BI220" s="20" t="str">
        <f t="shared" si="755"/>
        <v>100%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3</v>
      </c>
      <c r="DJ220" s="20">
        <v>1</v>
      </c>
      <c r="DK220" s="20">
        <v>2</v>
      </c>
      <c r="DL220" s="20" t="str">
        <f t="shared" si="777"/>
        <v>33.33%</v>
      </c>
      <c r="DM220" s="22"/>
      <c r="DN220" s="20">
        <f t="shared" si="778"/>
        <v>1</v>
      </c>
      <c r="DO220" s="20">
        <v>1</v>
      </c>
      <c r="DP220" s="20">
        <v>0</v>
      </c>
      <c r="DQ220" s="20" t="str">
        <f t="shared" si="779"/>
        <v>100%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2</v>
      </c>
      <c r="ED220" s="20">
        <v>0</v>
      </c>
      <c r="EE220" s="20">
        <v>2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3</v>
      </c>
      <c r="ES220" s="20">
        <v>1</v>
      </c>
      <c r="ET220" s="20">
        <v>2</v>
      </c>
      <c r="EU220" s="20" t="str">
        <f t="shared" si="791"/>
        <v>33.33%</v>
      </c>
      <c r="EV220" s="22"/>
      <c r="EW220" s="20">
        <f t="shared" si="792"/>
        <v>4</v>
      </c>
      <c r="EX220" s="20">
        <v>4</v>
      </c>
      <c r="EY220" s="20">
        <v>0</v>
      </c>
      <c r="EZ220" s="20" t="str">
        <f t="shared" si="793"/>
        <v>100%</v>
      </c>
      <c r="FA220" s="22"/>
      <c r="FB220" s="20">
        <f t="shared" si="794"/>
        <v>0</v>
      </c>
      <c r="FC220" s="20">
        <v>0</v>
      </c>
      <c r="FD220" s="20">
        <v>0</v>
      </c>
      <c r="FE220" s="20" t="str">
        <f t="shared" si="795"/>
        <v>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0</v>
      </c>
      <c r="FR220" s="20">
        <v>0</v>
      </c>
      <c r="FS220" s="20">
        <v>0</v>
      </c>
      <c r="FT220" s="20" t="str">
        <f t="shared" si="801"/>
        <v>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198</v>
      </c>
      <c r="B221" s="22"/>
      <c r="C221" s="22"/>
      <c r="D221" s="22"/>
      <c r="E221" s="22"/>
      <c r="F221" s="22"/>
      <c r="G221" s="22"/>
      <c r="H221" s="20">
        <f>SUM(H220,H219,H218,H217,H216)</f>
        <v>5</v>
      </c>
      <c r="I221" s="20">
        <f>SUM(I220,I219,I218,I217,I216)</f>
        <v>4</v>
      </c>
      <c r="J221" s="20">
        <f>SUM(J220,J219,J218,J217,J216)</f>
        <v>1</v>
      </c>
      <c r="K221" s="20" t="str">
        <f t="shared" si="737"/>
        <v>80%</v>
      </c>
      <c r="L221" s="22"/>
      <c r="M221" s="20">
        <f>SUM(M220,M219,M218,M217,M216)</f>
        <v>6</v>
      </c>
      <c r="N221" s="20">
        <f>SUM(N220,N219,N218,N217,N216)</f>
        <v>4</v>
      </c>
      <c r="O221" s="20">
        <f>SUM(O220,O219,O218,O217,O216)</f>
        <v>2</v>
      </c>
      <c r="P221" s="20" t="str">
        <f t="shared" si="739"/>
        <v>66.67%</v>
      </c>
      <c r="Q221" s="22"/>
      <c r="R221" s="20">
        <f>SUM(R220,R219,R218,R217,R216)</f>
        <v>12</v>
      </c>
      <c r="S221" s="20">
        <f>SUM(S220,S219,S218,S217,S216)</f>
        <v>7</v>
      </c>
      <c r="T221" s="20">
        <f>SUM(T220,T219,T218,T217,T216)</f>
        <v>5</v>
      </c>
      <c r="U221" s="20" t="str">
        <f t="shared" si="741"/>
        <v>58.33%</v>
      </c>
      <c r="V221" s="22"/>
      <c r="W221" s="20">
        <f>SUM(W220,W219,W218,W217,W216)</f>
        <v>12</v>
      </c>
      <c r="X221" s="20">
        <f>SUM(X220,X219,X218,X217,X216)</f>
        <v>7</v>
      </c>
      <c r="Y221" s="20">
        <f>SUM(Y220,Y219,Y218,Y217,Y216)</f>
        <v>5</v>
      </c>
      <c r="Z221" s="20" t="str">
        <f t="shared" si="743"/>
        <v>58.33%</v>
      </c>
      <c r="AA221" s="22"/>
      <c r="AB221" s="22"/>
      <c r="AC221" s="22"/>
      <c r="AD221" s="22"/>
      <c r="AE221" s="22"/>
      <c r="AF221" s="22"/>
      <c r="AG221" s="20">
        <f>SUM(AG220,AG219,AG218,AG217,AG216)</f>
        <v>5</v>
      </c>
      <c r="AH221" s="20">
        <f>SUM(AH220,AH219,AH218,AH217,AH216)</f>
        <v>5</v>
      </c>
      <c r="AI221" s="20">
        <f>SUM(AI220,AI219,AI218,AI217,AI216)</f>
        <v>0</v>
      </c>
      <c r="AJ221" s="20" t="str">
        <f t="shared" si="745"/>
        <v>100%</v>
      </c>
      <c r="AK221" s="22"/>
      <c r="AL221" s="20">
        <f>SUM(AL220,AL219,AL218,AL217,AL216)</f>
        <v>5</v>
      </c>
      <c r="AM221" s="20">
        <f>SUM(AM220,AM219,AM218,AM217,AM216)</f>
        <v>5</v>
      </c>
      <c r="AN221" s="20">
        <f>SUM(AN220,AN219,AN218,AN217,AN216)</f>
        <v>0</v>
      </c>
      <c r="AO221" s="20" t="str">
        <f t="shared" si="747"/>
        <v>100%</v>
      </c>
      <c r="AP221" s="22"/>
      <c r="AQ221" s="20">
        <f>SUM(AQ220,AQ219,AQ218,AQ217,AQ216)</f>
        <v>2</v>
      </c>
      <c r="AR221" s="20">
        <f>SUM(AR220,AR219,AR218,AR217,AR216)</f>
        <v>0</v>
      </c>
      <c r="AS221" s="20">
        <f>SUM(AS220,AS219,AS218,AS217,AS216)</f>
        <v>2</v>
      </c>
      <c r="AT221" s="20" t="str">
        <f t="shared" si="749"/>
        <v>0%</v>
      </c>
      <c r="AU221" s="22"/>
      <c r="AV221" s="20">
        <f>SUM(AV220,AV219,AV218,AV217,AV216)</f>
        <v>2</v>
      </c>
      <c r="AW221" s="20">
        <f>SUM(AW220,AW219,AW218,AW217,AW216)</f>
        <v>0</v>
      </c>
      <c r="AX221" s="20">
        <f>SUM(AX220,AX219,AX218,AX217,AX216)</f>
        <v>2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1</v>
      </c>
      <c r="BG221" s="20">
        <f>SUM(BG220,BG219,BG218,BG217,BG216)</f>
        <v>1</v>
      </c>
      <c r="BH221" s="20">
        <f>SUM(BH220,BH219,BH218,BH217,BH216)</f>
        <v>0</v>
      </c>
      <c r="BI221" s="20" t="str">
        <f t="shared" si="755"/>
        <v>100%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3</v>
      </c>
      <c r="DJ221" s="20">
        <f>SUM(DJ220,DJ219,DJ218,DJ217,DJ216)</f>
        <v>1</v>
      </c>
      <c r="DK221" s="20">
        <f>SUM(DK220,DK219,DK218,DK217,DK216)</f>
        <v>2</v>
      </c>
      <c r="DL221" s="20" t="str">
        <f t="shared" si="777"/>
        <v>33.33%</v>
      </c>
      <c r="DM221" s="22"/>
      <c r="DN221" s="20">
        <f>SUM(DN220,DN219,DN218,DN217,DN216)</f>
        <v>1</v>
      </c>
      <c r="DO221" s="20">
        <f>SUM(DO220,DO219,DO218,DO217,DO216)</f>
        <v>1</v>
      </c>
      <c r="DP221" s="20">
        <f>SUM(DP220,DP219,DP218,DP217,DP216)</f>
        <v>0</v>
      </c>
      <c r="DQ221" s="20" t="str">
        <f t="shared" si="779"/>
        <v>100%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2</v>
      </c>
      <c r="ED221" s="20">
        <f>SUM(ED220,ED219,ED218,ED217,ED216)</f>
        <v>0</v>
      </c>
      <c r="EE221" s="20">
        <f>SUM(EE220,EE219,EE218,EE217,EE216)</f>
        <v>2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5</v>
      </c>
      <c r="ES221" s="20">
        <f>SUM(ES220,ES219,ES218,ES217,ES216)</f>
        <v>3</v>
      </c>
      <c r="ET221" s="20">
        <f>SUM(ET220,ET219,ET218,ET217,ET216)</f>
        <v>2</v>
      </c>
      <c r="EU221" s="20" t="str">
        <f t="shared" si="791"/>
        <v>60%</v>
      </c>
      <c r="EV221" s="22"/>
      <c r="EW221" s="20">
        <f>SUM(EW220,EW219,EW218,EW217,EW216)</f>
        <v>4</v>
      </c>
      <c r="EX221" s="20">
        <f>SUM(EX220,EX219,EX218,EX217,EX216)</f>
        <v>4</v>
      </c>
      <c r="EY221" s="20">
        <f>SUM(EY220,EY219,EY218,EY217,EY216)</f>
        <v>0</v>
      </c>
      <c r="EZ221" s="20" t="str">
        <f t="shared" si="793"/>
        <v>100%</v>
      </c>
      <c r="FA221" s="22"/>
      <c r="FB221" s="20">
        <f>SUM(FB220,FB219,FB218,FB217,FB216)</f>
        <v>0</v>
      </c>
      <c r="FC221" s="20">
        <f>SUM(FC220,FC219,FC218,FC217,FC216)</f>
        <v>0</v>
      </c>
      <c r="FD221" s="20">
        <f>SUM(FD220,FD219,FD218,FD217,FD216)</f>
        <v>0</v>
      </c>
      <c r="FE221" s="20" t="str">
        <f t="shared" si="795"/>
        <v>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0</v>
      </c>
      <c r="FR221" s="20">
        <f>SUM(FR220,FR219,FR218,FR217,FR216)</f>
        <v>0</v>
      </c>
      <c r="FS221" s="20">
        <f>SUM(FS220,FS219,FS218,FS217,FS216)</f>
        <v>0</v>
      </c>
      <c r="FT221" s="20" t="str">
        <f t="shared" si="801"/>
        <v>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2</v>
      </c>
      <c r="GB221" s="20">
        <f>SUM(GB220,GB219,GB218,GB217,GB216)</f>
        <v>0</v>
      </c>
      <c r="GC221" s="20">
        <f>SUM(GC220,GC219,GC218,GC217,GC216)</f>
        <v>2</v>
      </c>
      <c r="GD221" s="20" t="str">
        <f t="shared" si="805"/>
        <v>0%</v>
      </c>
      <c r="GE221" s="3"/>
    </row>
    <row r="222" spans="1:187" x14ac:dyDescent="0.25">
      <c r="A222" s="21" t="s">
        <v>196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-25%</v>
      </c>
      <c r="V222" s="22"/>
      <c r="W222" s="22"/>
      <c r="X222" s="22"/>
      <c r="Y222" s="22"/>
      <c r="Z222" s="20" t="str">
        <f>(Z219-Z165)*100 &amp; "%"</f>
        <v>16.67%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-42.86%</v>
      </c>
      <c r="AK222" s="22"/>
      <c r="AL222" s="22"/>
      <c r="AM222" s="22"/>
      <c r="AN222" s="22"/>
      <c r="AO222" s="20" t="str">
        <f>(AO219-AO165)*100 &amp; "%"</f>
        <v>-33.33%</v>
      </c>
      <c r="AP222" s="22"/>
      <c r="AQ222" s="22"/>
      <c r="AR222" s="22"/>
      <c r="AS222" s="22"/>
      <c r="AT222" s="20" t="str">
        <f>(AT219-AT165)*100 &amp; "%"</f>
        <v>0%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197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0%</v>
      </c>
      <c r="L223" s="22"/>
      <c r="M223" s="22"/>
      <c r="N223" s="22"/>
      <c r="O223" s="22"/>
      <c r="P223" s="20" t="str">
        <f>(P220-P106)*100 &amp; "%"</f>
        <v>-8.33%</v>
      </c>
      <c r="Q223" s="22"/>
      <c r="R223" s="22"/>
      <c r="S223" s="22"/>
      <c r="T223" s="22"/>
      <c r="U223" s="20" t="str">
        <f>(U220-U106)*100 &amp; "%"</f>
        <v>3.33%</v>
      </c>
      <c r="V223" s="22"/>
      <c r="W223" s="22"/>
      <c r="X223" s="22"/>
      <c r="Y223" s="22"/>
      <c r="Z223" s="20" t="str">
        <f>(Z220-Z106)*100 &amp; "%"</f>
        <v>-14.42%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8.33%</v>
      </c>
      <c r="AK223" s="22"/>
      <c r="AL223" s="22"/>
      <c r="AM223" s="22"/>
      <c r="AN223" s="22"/>
      <c r="AO223" s="20" t="str">
        <f>(AO220-AO106)*100 &amp; "%"</f>
        <v>12.5%</v>
      </c>
      <c r="AP223" s="22"/>
      <c r="AQ223" s="22"/>
      <c r="AR223" s="22"/>
      <c r="AS223" s="22"/>
      <c r="AT223" s="20" t="str">
        <f>(AT220-AT106)*100 &amp; "%"</f>
        <v>-40%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0%</v>
      </c>
      <c r="DM223" s="22"/>
      <c r="DN223" s="22"/>
      <c r="DO223" s="22"/>
      <c r="DP223" s="22"/>
      <c r="DQ223" s="20" t="str">
        <f>(DQ220-DQ106)*100 &amp; "%"</f>
        <v>33.33%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-16.67%</v>
      </c>
      <c r="EV223" s="22"/>
      <c r="EW223" s="22"/>
      <c r="EX223" s="22"/>
      <c r="EY223" s="22"/>
      <c r="EZ223" s="20" t="str">
        <f>(EZ220-EZ106)*100 &amp; "%"</f>
        <v>0%</v>
      </c>
      <c r="FA223" s="22"/>
      <c r="FB223" s="22"/>
      <c r="FC223" s="22"/>
      <c r="FD223" s="22"/>
      <c r="FE223" s="20" t="str">
        <f>(FE220-FE106)*100 &amp; "%"</f>
        <v>0%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0%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199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0.17500000000000004</v>
      </c>
      <c r="L224" s="22"/>
      <c r="M224" s="22"/>
      <c r="N224" s="22"/>
      <c r="O224" s="22"/>
      <c r="P224" s="23">
        <f>P221-P166</f>
        <v>-0.11899999999999999</v>
      </c>
      <c r="Q224" s="22"/>
      <c r="R224" s="22"/>
      <c r="S224" s="22"/>
      <c r="T224" s="22"/>
      <c r="U224" s="23">
        <f>U221-U166</f>
        <v>2.0800000000000041E-2</v>
      </c>
      <c r="V224" s="22"/>
      <c r="W224" s="22"/>
      <c r="X224" s="22"/>
      <c r="Y224" s="22"/>
      <c r="Z224" s="23">
        <f>Z221-Z166</f>
        <v>-4.830000000000001E-2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0.26319999999999999</v>
      </c>
      <c r="AK224" s="22"/>
      <c r="AL224" s="22"/>
      <c r="AM224" s="22"/>
      <c r="AN224" s="22"/>
      <c r="AO224" s="23">
        <f>AO221-AO166</f>
        <v>0.27270000000000005</v>
      </c>
      <c r="AP224" s="22"/>
      <c r="AQ224" s="22"/>
      <c r="AR224" s="22"/>
      <c r="AS224" s="22"/>
      <c r="AT224" s="23">
        <f>AT221-AT166</f>
        <v>-0.22220000000000001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0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8.3299999999999985E-2</v>
      </c>
      <c r="DM224" s="22"/>
      <c r="DN224" s="22"/>
      <c r="DO224" s="22"/>
      <c r="DP224" s="22"/>
      <c r="DQ224" s="23">
        <f>DQ221-DQ166</f>
        <v>0.25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0</v>
      </c>
      <c r="EV224" s="22"/>
      <c r="EW224" s="22"/>
      <c r="EX224" s="22"/>
      <c r="EY224" s="22"/>
      <c r="EZ224" s="23">
        <f>EZ221-EZ166</f>
        <v>0</v>
      </c>
      <c r="FA224" s="22"/>
      <c r="FB224" s="22"/>
      <c r="FC224" s="22"/>
      <c r="FD224" s="22"/>
      <c r="FE224" s="23">
        <f>FE221-FE166</f>
        <v>0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193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1</v>
      </c>
      <c r="S227" s="20">
        <v>1</v>
      </c>
      <c r="T227" s="20">
        <v>0</v>
      </c>
      <c r="U227" s="20" t="str">
        <f>IF(R227,ROUND(S227/R227*100,2),0) &amp; "%"</f>
        <v>100%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2</v>
      </c>
      <c r="AM227" s="20">
        <v>2</v>
      </c>
      <c r="AN227" s="20">
        <v>0</v>
      </c>
      <c r="AO227" s="20" t="str">
        <f>IF(AL227,ROUND(AM227/AL227*100,2),0) &amp; "%"</f>
        <v>100%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192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1</v>
      </c>
      <c r="I228" s="20">
        <v>1</v>
      </c>
      <c r="J228" s="20">
        <v>0</v>
      </c>
      <c r="K228" s="20" t="str">
        <f t="shared" ref="K228:K232" si="807">IF(H228,ROUND(I228/H228*100,2),0) &amp; "%"</f>
        <v>100%</v>
      </c>
      <c r="L228" s="22"/>
      <c r="M228" s="20">
        <f t="shared" ref="M228:M231" si="808">SUM(N228,O228)</f>
        <v>2</v>
      </c>
      <c r="N228" s="20">
        <v>2</v>
      </c>
      <c r="O228" s="20">
        <v>0</v>
      </c>
      <c r="P228" s="20" t="str">
        <f t="shared" ref="P228:P232" si="809">IF(M228,ROUND(N228/M228*100,2),0) &amp; "%"</f>
        <v>100%</v>
      </c>
      <c r="Q228" s="22"/>
      <c r="R228" s="20">
        <f t="shared" ref="R228:R231" si="810">SUM(S228,T228)</f>
        <v>1</v>
      </c>
      <c r="S228" s="20">
        <v>0</v>
      </c>
      <c r="T228" s="20">
        <v>1</v>
      </c>
      <c r="U228" s="20" t="str">
        <f t="shared" ref="U228:U232" si="811">IF(R228,ROUND(S228/R228*100,2),0) &amp; "%"</f>
        <v>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0</v>
      </c>
      <c r="AR228" s="20">
        <v>0</v>
      </c>
      <c r="AS228" s="20">
        <v>0</v>
      </c>
      <c r="AT228" s="20" t="str">
        <f t="shared" ref="AT228:AT232" si="819">IF(AQ228,ROUND(AR228/AQ228*100,2),0) &amp; "%"</f>
        <v>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0</v>
      </c>
      <c r="FC228" s="20">
        <v>0</v>
      </c>
      <c r="FD228" s="20">
        <v>0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194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1</v>
      </c>
      <c r="X229" s="20">
        <v>1</v>
      </c>
      <c r="Y229" s="20">
        <v>0</v>
      </c>
      <c r="Z229" s="20" t="str">
        <f t="shared" si="813"/>
        <v>100%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0</v>
      </c>
      <c r="AM229" s="20">
        <v>0</v>
      </c>
      <c r="AN229" s="20">
        <v>0</v>
      </c>
      <c r="AO229" s="20" t="str">
        <f t="shared" si="817"/>
        <v>0%</v>
      </c>
      <c r="AP229" s="22"/>
      <c r="AQ229" s="20">
        <f t="shared" si="818"/>
        <v>2</v>
      </c>
      <c r="AR229" s="20">
        <v>0</v>
      </c>
      <c r="AS229" s="20">
        <v>2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1</v>
      </c>
      <c r="DO229" s="20">
        <v>1</v>
      </c>
      <c r="DP229" s="20">
        <v>0</v>
      </c>
      <c r="DQ229" s="20" t="str">
        <f t="shared" si="849"/>
        <v>100%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195</v>
      </c>
      <c r="B230" s="22"/>
      <c r="C230" s="22"/>
      <c r="D230" s="22"/>
      <c r="E230" s="22"/>
      <c r="F230" s="22"/>
      <c r="G230" s="22"/>
      <c r="H230" s="20">
        <f t="shared" si="806"/>
        <v>1</v>
      </c>
      <c r="I230" s="20">
        <v>1</v>
      </c>
      <c r="J230" s="20">
        <v>0</v>
      </c>
      <c r="K230" s="20" t="str">
        <f t="shared" si="807"/>
        <v>100%</v>
      </c>
      <c r="L230" s="22"/>
      <c r="M230" s="20">
        <f t="shared" si="808"/>
        <v>2</v>
      </c>
      <c r="N230" s="20">
        <v>2</v>
      </c>
      <c r="O230" s="20">
        <v>0</v>
      </c>
      <c r="P230" s="20" t="str">
        <f t="shared" si="809"/>
        <v>100%</v>
      </c>
      <c r="Q230" s="22"/>
      <c r="R230" s="20">
        <f t="shared" si="810"/>
        <v>2</v>
      </c>
      <c r="S230" s="20">
        <v>1</v>
      </c>
      <c r="T230" s="20">
        <v>1</v>
      </c>
      <c r="U230" s="20" t="str">
        <f t="shared" si="811"/>
        <v>50%</v>
      </c>
      <c r="V230" s="22"/>
      <c r="W230" s="20">
        <f t="shared" si="812"/>
        <v>1</v>
      </c>
      <c r="X230" s="20">
        <v>1</v>
      </c>
      <c r="Y230" s="20">
        <v>0</v>
      </c>
      <c r="Z230" s="20" t="str">
        <f t="shared" si="813"/>
        <v>100%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2</v>
      </c>
      <c r="AM230" s="20">
        <v>2</v>
      </c>
      <c r="AN230" s="20">
        <v>0</v>
      </c>
      <c r="AO230" s="20" t="str">
        <f t="shared" si="817"/>
        <v>100%</v>
      </c>
      <c r="AP230" s="22"/>
      <c r="AQ230" s="20">
        <f t="shared" si="818"/>
        <v>2</v>
      </c>
      <c r="AR230" s="20">
        <v>0</v>
      </c>
      <c r="AS230" s="20">
        <v>2</v>
      </c>
      <c r="AT230" s="20" t="str">
        <f t="shared" si="819"/>
        <v>0%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1</v>
      </c>
      <c r="DO230" s="20">
        <v>1</v>
      </c>
      <c r="DP230" s="20">
        <v>0</v>
      </c>
      <c r="DQ230" s="20" t="str">
        <f t="shared" si="849"/>
        <v>100%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0</v>
      </c>
      <c r="FC230" s="20">
        <v>0</v>
      </c>
      <c r="FD230" s="20">
        <v>0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191</v>
      </c>
      <c r="B231" s="22"/>
      <c r="C231" s="22"/>
      <c r="D231" s="22"/>
      <c r="E231" s="22"/>
      <c r="F231" s="22"/>
      <c r="G231" s="22"/>
      <c r="H231" s="20">
        <f t="shared" si="806"/>
        <v>1</v>
      </c>
      <c r="I231" s="20">
        <v>1</v>
      </c>
      <c r="J231" s="20">
        <v>0</v>
      </c>
      <c r="K231" s="20" t="str">
        <f t="shared" si="807"/>
        <v>100%</v>
      </c>
      <c r="L231" s="22"/>
      <c r="M231" s="20">
        <f t="shared" si="808"/>
        <v>7</v>
      </c>
      <c r="N231" s="20">
        <v>6</v>
      </c>
      <c r="O231" s="20">
        <v>1</v>
      </c>
      <c r="P231" s="20" t="str">
        <f t="shared" si="809"/>
        <v>85.71%</v>
      </c>
      <c r="Q231" s="22"/>
      <c r="R231" s="20">
        <f t="shared" si="810"/>
        <v>8</v>
      </c>
      <c r="S231" s="20">
        <v>7</v>
      </c>
      <c r="T231" s="20">
        <v>1</v>
      </c>
      <c r="U231" s="20" t="str">
        <f t="shared" si="811"/>
        <v>87.5%</v>
      </c>
      <c r="V231" s="22"/>
      <c r="W231" s="20">
        <f t="shared" si="812"/>
        <v>4</v>
      </c>
      <c r="X231" s="20">
        <v>4</v>
      </c>
      <c r="Y231" s="20">
        <v>0</v>
      </c>
      <c r="Z231" s="20" t="str">
        <f t="shared" si="813"/>
        <v>100%</v>
      </c>
      <c r="AA231" s="22"/>
      <c r="AB231" s="20">
        <f t="shared" si="814"/>
        <v>5</v>
      </c>
      <c r="AC231" s="20">
        <v>5</v>
      </c>
      <c r="AD231" s="20">
        <v>0</v>
      </c>
      <c r="AE231" s="20" t="str">
        <f t="shared" si="815"/>
        <v>100%</v>
      </c>
      <c r="AF231" s="22"/>
      <c r="AG231" s="22"/>
      <c r="AH231" s="22"/>
      <c r="AI231" s="22"/>
      <c r="AJ231" s="22"/>
      <c r="AK231" s="22"/>
      <c r="AL231" s="20">
        <f t="shared" si="816"/>
        <v>7</v>
      </c>
      <c r="AM231" s="20">
        <v>6</v>
      </c>
      <c r="AN231" s="20">
        <v>1</v>
      </c>
      <c r="AO231" s="20" t="str">
        <f t="shared" si="817"/>
        <v>85.71%</v>
      </c>
      <c r="AP231" s="22"/>
      <c r="AQ231" s="20">
        <f t="shared" si="818"/>
        <v>2</v>
      </c>
      <c r="AR231" s="20">
        <v>1</v>
      </c>
      <c r="AS231" s="20">
        <v>1</v>
      </c>
      <c r="AT231" s="20" t="str">
        <f t="shared" si="819"/>
        <v>50%</v>
      </c>
      <c r="AU231" s="22"/>
      <c r="AV231" s="20">
        <f t="shared" si="820"/>
        <v>1</v>
      </c>
      <c r="AW231" s="20">
        <v>1</v>
      </c>
      <c r="AX231" s="20">
        <v>0</v>
      </c>
      <c r="AY231" s="20" t="str">
        <f t="shared" si="821"/>
        <v>100%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3</v>
      </c>
      <c r="DO231" s="20">
        <v>2</v>
      </c>
      <c r="DP231" s="20">
        <v>1</v>
      </c>
      <c r="DQ231" s="20" t="str">
        <f t="shared" si="849"/>
        <v>66.67%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1</v>
      </c>
      <c r="ED231" s="20">
        <v>0</v>
      </c>
      <c r="EE231" s="20">
        <v>1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2</v>
      </c>
      <c r="ES231" s="20">
        <v>2</v>
      </c>
      <c r="ET231" s="20">
        <v>0</v>
      </c>
      <c r="EU231" s="20" t="str">
        <f t="shared" si="861"/>
        <v>100%</v>
      </c>
      <c r="EV231" s="22"/>
      <c r="EW231" s="20">
        <f t="shared" si="862"/>
        <v>2</v>
      </c>
      <c r="EX231" s="20">
        <v>2</v>
      </c>
      <c r="EY231" s="20">
        <v>0</v>
      </c>
      <c r="EZ231" s="20" t="str">
        <f t="shared" si="863"/>
        <v>100%</v>
      </c>
      <c r="FA231" s="22"/>
      <c r="FB231" s="20">
        <f t="shared" si="864"/>
        <v>0</v>
      </c>
      <c r="FC231" s="20">
        <v>0</v>
      </c>
      <c r="FD231" s="20">
        <v>0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0</v>
      </c>
      <c r="FR231" s="20">
        <v>0</v>
      </c>
      <c r="FS231" s="20">
        <v>0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198</v>
      </c>
      <c r="B232" s="22"/>
      <c r="C232" s="22"/>
      <c r="D232" s="22"/>
      <c r="E232" s="22"/>
      <c r="F232" s="22"/>
      <c r="G232" s="22"/>
      <c r="H232" s="20">
        <f>SUM(H231,H230,H229,H228,H227)</f>
        <v>3</v>
      </c>
      <c r="I232" s="20">
        <f>SUM(I231,I230,I229,I228,I227)</f>
        <v>3</v>
      </c>
      <c r="J232" s="20">
        <f>SUM(J231,J230,J229,J228,J227)</f>
        <v>0</v>
      </c>
      <c r="K232" s="20" t="str">
        <f t="shared" si="807"/>
        <v>100%</v>
      </c>
      <c r="L232" s="22"/>
      <c r="M232" s="20">
        <f>SUM(M231,M230,M229,M228,M227)</f>
        <v>11</v>
      </c>
      <c r="N232" s="20">
        <f>SUM(N231,N230,N229,N228,N227)</f>
        <v>10</v>
      </c>
      <c r="O232" s="20">
        <f>SUM(O231,O230,O229,O228,O227)</f>
        <v>1</v>
      </c>
      <c r="P232" s="20" t="str">
        <f t="shared" si="809"/>
        <v>90.91%</v>
      </c>
      <c r="Q232" s="22"/>
      <c r="R232" s="20">
        <f>SUM(R231,R230,R229,R228,R227)</f>
        <v>12</v>
      </c>
      <c r="S232" s="20">
        <f>SUM(S231,S230,S229,S228,S227)</f>
        <v>9</v>
      </c>
      <c r="T232" s="20">
        <f>SUM(T231,T230,T229,T228,T227)</f>
        <v>3</v>
      </c>
      <c r="U232" s="20" t="str">
        <f t="shared" si="811"/>
        <v>75%</v>
      </c>
      <c r="V232" s="22"/>
      <c r="W232" s="20">
        <f>SUM(W231,W230,W229,W228,W227)</f>
        <v>6</v>
      </c>
      <c r="X232" s="20">
        <f>SUM(X231,X230,X229,X228,X227)</f>
        <v>6</v>
      </c>
      <c r="Y232" s="20">
        <f>SUM(Y231,Y230,Y229,Y228,Y227)</f>
        <v>0</v>
      </c>
      <c r="Z232" s="20" t="str">
        <f t="shared" si="813"/>
        <v>100%</v>
      </c>
      <c r="AA232" s="22"/>
      <c r="AB232" s="20">
        <f>SUM(AB231,AB230,AB229,AB228,AB227)</f>
        <v>5</v>
      </c>
      <c r="AC232" s="20">
        <f>SUM(AC231,AC230,AC229,AC228,AC227)</f>
        <v>5</v>
      </c>
      <c r="AD232" s="20">
        <f>SUM(AD231,AD230,AD229,AD228,AD227)</f>
        <v>0</v>
      </c>
      <c r="AE232" s="20" t="str">
        <f t="shared" si="815"/>
        <v>100%</v>
      </c>
      <c r="AF232" s="22"/>
      <c r="AG232" s="22"/>
      <c r="AH232" s="22"/>
      <c r="AI232" s="22"/>
      <c r="AJ232" s="22"/>
      <c r="AK232" s="22"/>
      <c r="AL232" s="20">
        <f>SUM(AL231,AL230,AL229,AL228,AL227)</f>
        <v>11</v>
      </c>
      <c r="AM232" s="20">
        <f>SUM(AM231,AM230,AM229,AM228,AM227)</f>
        <v>10</v>
      </c>
      <c r="AN232" s="20">
        <f>SUM(AN231,AN230,AN229,AN228,AN227)</f>
        <v>1</v>
      </c>
      <c r="AO232" s="20" t="str">
        <f t="shared" si="817"/>
        <v>90.91%</v>
      </c>
      <c r="AP232" s="22"/>
      <c r="AQ232" s="20">
        <f>SUM(AQ231,AQ230,AQ229,AQ228,AQ227)</f>
        <v>6</v>
      </c>
      <c r="AR232" s="20">
        <f>SUM(AR231,AR230,AR229,AR228,AR227)</f>
        <v>1</v>
      </c>
      <c r="AS232" s="20">
        <f>SUM(AS231,AS230,AS229,AS228,AS227)</f>
        <v>5</v>
      </c>
      <c r="AT232" s="20" t="str">
        <f t="shared" si="819"/>
        <v>16.67%</v>
      </c>
      <c r="AU232" s="22"/>
      <c r="AV232" s="20">
        <f>SUM(AV231,AV230,AV229,AV228,AV227)</f>
        <v>1</v>
      </c>
      <c r="AW232" s="20">
        <f>SUM(AW231,AW230,AW229,AW228,AW227)</f>
        <v>1</v>
      </c>
      <c r="AX232" s="20">
        <f>SUM(AX231,AX230,AX229,AX228,AX227)</f>
        <v>0</v>
      </c>
      <c r="AY232" s="20" t="str">
        <f t="shared" si="821"/>
        <v>100%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5</v>
      </c>
      <c r="DO232" s="20">
        <f>SUM(DO231,DO230,DO229,DO228,DO227)</f>
        <v>4</v>
      </c>
      <c r="DP232" s="20">
        <f>SUM(DP231,DP230,DP229,DP228,DP227)</f>
        <v>1</v>
      </c>
      <c r="DQ232" s="20" t="str">
        <f t="shared" si="849"/>
        <v>80%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1</v>
      </c>
      <c r="ED232" s="20">
        <f>SUM(ED231,ED230,ED229,ED228,ED227)</f>
        <v>0</v>
      </c>
      <c r="EE232" s="20">
        <f>SUM(EE231,EE230,EE229,EE228,EE227)</f>
        <v>1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2</v>
      </c>
      <c r="ES232" s="20">
        <f>SUM(ES231,ES230,ES229,ES228,ES227)</f>
        <v>2</v>
      </c>
      <c r="ET232" s="20">
        <f>SUM(ET231,ET230,ET229,ET228,ET227)</f>
        <v>0</v>
      </c>
      <c r="EU232" s="20" t="str">
        <f t="shared" si="861"/>
        <v>100%</v>
      </c>
      <c r="EV232" s="22"/>
      <c r="EW232" s="20">
        <f>SUM(EW231,EW230,EW229,EW228,EW227)</f>
        <v>2</v>
      </c>
      <c r="EX232" s="20">
        <f>SUM(EX231,EX230,EX229,EX228,EX227)</f>
        <v>2</v>
      </c>
      <c r="EY232" s="20">
        <f>SUM(EY231,EY230,EY229,EY228,EY227)</f>
        <v>0</v>
      </c>
      <c r="EZ232" s="20" t="str">
        <f t="shared" si="863"/>
        <v>100%</v>
      </c>
      <c r="FA232" s="22"/>
      <c r="FB232" s="20">
        <f>SUM(FB231,FB230,FB229,FB228,FB227)</f>
        <v>0</v>
      </c>
      <c r="FC232" s="20">
        <f>SUM(FC231,FC230,FC229,FC228,FC227)</f>
        <v>0</v>
      </c>
      <c r="FD232" s="20">
        <f>SUM(FD231,FD230,FD229,FD228,FD227)</f>
        <v>0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0</v>
      </c>
      <c r="FR232" s="20">
        <f>SUM(FR231,FR230,FR229,FR228,FR227)</f>
        <v>0</v>
      </c>
      <c r="FS232" s="20">
        <f>SUM(FS231,FS230,FS229,FS228,FS227)</f>
        <v>0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196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66.67%</v>
      </c>
      <c r="L233" s="22"/>
      <c r="M233" s="22"/>
      <c r="N233" s="22"/>
      <c r="O233" s="22"/>
      <c r="P233" s="20" t="str">
        <f>(P230-P165)*100 &amp; "%"</f>
        <v>0%</v>
      </c>
      <c r="Q233" s="22"/>
      <c r="R233" s="22"/>
      <c r="S233" s="22"/>
      <c r="T233" s="22"/>
      <c r="U233" s="20" t="str">
        <f>(U230-U165)*100 &amp; "%"</f>
        <v>25%</v>
      </c>
      <c r="V233" s="22"/>
      <c r="W233" s="22"/>
      <c r="X233" s="22"/>
      <c r="Y233" s="22"/>
      <c r="Z233" s="20" t="str">
        <f>(Z230-Z165)*100 &amp; "%"</f>
        <v>66.67%</v>
      </c>
      <c r="AA233" s="22"/>
      <c r="AB233" s="22"/>
      <c r="AC233" s="22"/>
      <c r="AD233" s="22"/>
      <c r="AE233" s="20" t="str">
        <f>(AE230-AE165)*100 &amp; "%"</f>
        <v>-16.67%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66.67%</v>
      </c>
      <c r="AP233" s="22"/>
      <c r="AQ233" s="22"/>
      <c r="AR233" s="22"/>
      <c r="AS233" s="22"/>
      <c r="AT233" s="20" t="str">
        <f>(AT230-AT165)*100 &amp; "%"</f>
        <v>0%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197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20%</v>
      </c>
      <c r="L234" s="22"/>
      <c r="M234" s="22"/>
      <c r="N234" s="22"/>
      <c r="O234" s="22"/>
      <c r="P234" s="20" t="str">
        <f>(P231-P106)*100 &amp; "%"</f>
        <v>10.71%</v>
      </c>
      <c r="Q234" s="22"/>
      <c r="R234" s="22"/>
      <c r="S234" s="22"/>
      <c r="T234" s="22"/>
      <c r="U234" s="20" t="str">
        <f>(U231-U106)*100 &amp; "%"</f>
        <v>20.83%</v>
      </c>
      <c r="V234" s="22"/>
      <c r="W234" s="22"/>
      <c r="X234" s="22"/>
      <c r="Y234" s="22"/>
      <c r="Z234" s="20" t="str">
        <f>(Z231-Z106)*100 &amp; "%"</f>
        <v>23.08%</v>
      </c>
      <c r="AA234" s="22"/>
      <c r="AB234" s="22"/>
      <c r="AC234" s="22"/>
      <c r="AD234" s="22"/>
      <c r="AE234" s="20" t="str">
        <f>(AE231-AE106)*100 &amp; "%"</f>
        <v>30.77%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-1.79%</v>
      </c>
      <c r="AP234" s="22"/>
      <c r="AQ234" s="22"/>
      <c r="AR234" s="22"/>
      <c r="AS234" s="22"/>
      <c r="AT234" s="20" t="str">
        <f>(AT231-AT106)*100 &amp; "%"</f>
        <v>10%</v>
      </c>
      <c r="AU234" s="22"/>
      <c r="AV234" s="22"/>
      <c r="AW234" s="22"/>
      <c r="AX234" s="22"/>
      <c r="AY234" s="20" t="str">
        <f>(AY231-AY106)*100 &amp; "%"</f>
        <v>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0%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50%</v>
      </c>
      <c r="EV234" s="22"/>
      <c r="EW234" s="22"/>
      <c r="EX234" s="22"/>
      <c r="EY234" s="22"/>
      <c r="EZ234" s="20" t="str">
        <f>(EZ231-EZ106)*100 &amp; "%"</f>
        <v>0%</v>
      </c>
      <c r="FA234" s="22"/>
      <c r="FB234" s="22"/>
      <c r="FC234" s="22"/>
      <c r="FD234" s="22"/>
      <c r="FE234" s="20" t="str">
        <f>(FE231-FE106)*100 &amp; "%"</f>
        <v>0%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0%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199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0.375</v>
      </c>
      <c r="L235" s="22"/>
      <c r="M235" s="22"/>
      <c r="N235" s="22"/>
      <c r="O235" s="22"/>
      <c r="P235" s="23">
        <f>P232-P166</f>
        <v>0.12340000000000007</v>
      </c>
      <c r="Q235" s="22"/>
      <c r="R235" s="22"/>
      <c r="S235" s="22"/>
      <c r="T235" s="22"/>
      <c r="U235" s="23">
        <f>U232-U166</f>
        <v>0.1875</v>
      </c>
      <c r="V235" s="22"/>
      <c r="W235" s="22"/>
      <c r="X235" s="22"/>
      <c r="Y235" s="22"/>
      <c r="Z235" s="23">
        <f>Z232-Z166</f>
        <v>0.36839999999999995</v>
      </c>
      <c r="AA235" s="22"/>
      <c r="AB235" s="22"/>
      <c r="AC235" s="22"/>
      <c r="AD235" s="22"/>
      <c r="AE235" s="23">
        <f>AE232-AE166</f>
        <v>0.47370000000000001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0.18180000000000007</v>
      </c>
      <c r="AP235" s="22"/>
      <c r="AQ235" s="22"/>
      <c r="AR235" s="22"/>
      <c r="AS235" s="22"/>
      <c r="AT235" s="23">
        <f>AT232-AT166</f>
        <v>-5.5500000000000022E-2</v>
      </c>
      <c r="AU235" s="22"/>
      <c r="AV235" s="22"/>
      <c r="AW235" s="22"/>
      <c r="AX235" s="22"/>
      <c r="AY235" s="23">
        <f>AY232-AY166</f>
        <v>0.66670000000000007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5.0000000000000044E-2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0.4</v>
      </c>
      <c r="EV235" s="22"/>
      <c r="EW235" s="22"/>
      <c r="EX235" s="22"/>
      <c r="EY235" s="22"/>
      <c r="EZ235" s="23">
        <f>EZ232-EZ166</f>
        <v>0</v>
      </c>
      <c r="FA235" s="22"/>
      <c r="FB235" s="22"/>
      <c r="FC235" s="22"/>
      <c r="FD235" s="22"/>
      <c r="FE235" s="23">
        <f>FE232-FE166</f>
        <v>0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0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193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1</v>
      </c>
      <c r="S238" s="20">
        <v>1</v>
      </c>
      <c r="T238" s="20">
        <v>0</v>
      </c>
      <c r="U238" s="20" t="str">
        <f>IF(R238,ROUND(S238/R238*100,2),0) &amp; "%"</f>
        <v>100%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2</v>
      </c>
      <c r="AH238" s="20">
        <v>2</v>
      </c>
      <c r="AI238" s="20">
        <v>0</v>
      </c>
      <c r="AJ238" s="20" t="str">
        <f>IF(AG238,ROUND(AH238/AG238*100,2),0) &amp; "%"</f>
        <v>100%</v>
      </c>
      <c r="AK238" s="22"/>
      <c r="AL238" s="22"/>
      <c r="AM238" s="22"/>
      <c r="AN238" s="22"/>
      <c r="AO238" s="22"/>
      <c r="AP238" s="22"/>
      <c r="AQ238" s="20">
        <f>SUM(AR238,AS238)</f>
        <v>1</v>
      </c>
      <c r="AR238" s="20">
        <v>0</v>
      </c>
      <c r="AS238" s="20">
        <v>1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192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0</v>
      </c>
      <c r="AH239" s="20">
        <v>0</v>
      </c>
      <c r="AI239" s="20">
        <v>0</v>
      </c>
      <c r="AJ239" s="20" t="str">
        <f t="shared" ref="AJ239:AJ243" si="887">IF(AG239,ROUND(AH239/AG239*100,2),0) &amp; "%"</f>
        <v>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0</v>
      </c>
      <c r="FR239" s="20">
        <v>0</v>
      </c>
      <c r="FS239" s="20">
        <v>0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194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1</v>
      </c>
      <c r="X240" s="20">
        <v>1</v>
      </c>
      <c r="Y240" s="20">
        <v>0</v>
      </c>
      <c r="Z240" s="20" t="str">
        <f t="shared" si="883"/>
        <v>100%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1</v>
      </c>
      <c r="DO240" s="20">
        <v>1</v>
      </c>
      <c r="DP240" s="20">
        <v>0</v>
      </c>
      <c r="DQ240" s="20" t="str">
        <f t="shared" si="919"/>
        <v>100%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1</v>
      </c>
      <c r="ED240" s="20">
        <v>0</v>
      </c>
      <c r="EE240" s="20">
        <v>1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195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1</v>
      </c>
      <c r="S241" s="20">
        <v>1</v>
      </c>
      <c r="T241" s="20">
        <v>0</v>
      </c>
      <c r="U241" s="20" t="str">
        <f t="shared" si="881"/>
        <v>100%</v>
      </c>
      <c r="V241" s="22"/>
      <c r="W241" s="20">
        <f t="shared" si="882"/>
        <v>1</v>
      </c>
      <c r="X241" s="20">
        <v>1</v>
      </c>
      <c r="Y241" s="20">
        <v>0</v>
      </c>
      <c r="Z241" s="20" t="str">
        <f t="shared" si="883"/>
        <v>100%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2</v>
      </c>
      <c r="AH241" s="20">
        <v>2</v>
      </c>
      <c r="AI241" s="20">
        <v>0</v>
      </c>
      <c r="AJ241" s="20" t="str">
        <f t="shared" si="887"/>
        <v>100%</v>
      </c>
      <c r="AK241" s="22"/>
      <c r="AL241" s="22"/>
      <c r="AM241" s="22"/>
      <c r="AN241" s="22"/>
      <c r="AO241" s="22"/>
      <c r="AP241" s="22"/>
      <c r="AQ241" s="20">
        <f t="shared" si="888"/>
        <v>1</v>
      </c>
      <c r="AR241" s="20">
        <v>0</v>
      </c>
      <c r="AS241" s="20">
        <v>1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1</v>
      </c>
      <c r="DO241" s="20">
        <v>1</v>
      </c>
      <c r="DP241" s="20">
        <v>0</v>
      </c>
      <c r="DQ241" s="20" t="str">
        <f t="shared" si="919"/>
        <v>100%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1</v>
      </c>
      <c r="ED241" s="20">
        <v>0</v>
      </c>
      <c r="EE241" s="20">
        <v>1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0</v>
      </c>
      <c r="FR241" s="20">
        <v>0</v>
      </c>
      <c r="FS241" s="20">
        <v>0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191</v>
      </c>
      <c r="B242" s="22"/>
      <c r="C242" s="22"/>
      <c r="D242" s="22"/>
      <c r="E242" s="22"/>
      <c r="F242" s="22"/>
      <c r="G242" s="22"/>
      <c r="H242" s="20">
        <f t="shared" si="876"/>
        <v>3</v>
      </c>
      <c r="I242" s="20">
        <v>3</v>
      </c>
      <c r="J242" s="20">
        <v>0</v>
      </c>
      <c r="K242" s="20" t="str">
        <f t="shared" si="877"/>
        <v>100%</v>
      </c>
      <c r="L242" s="22"/>
      <c r="M242" s="20">
        <f t="shared" si="878"/>
        <v>5</v>
      </c>
      <c r="N242" s="20">
        <v>4</v>
      </c>
      <c r="O242" s="20">
        <v>1</v>
      </c>
      <c r="P242" s="20" t="str">
        <f t="shared" si="879"/>
        <v>80%</v>
      </c>
      <c r="Q242" s="22"/>
      <c r="R242" s="20">
        <f t="shared" si="880"/>
        <v>8</v>
      </c>
      <c r="S242" s="20">
        <v>7</v>
      </c>
      <c r="T242" s="20">
        <v>1</v>
      </c>
      <c r="U242" s="20" t="str">
        <f t="shared" si="881"/>
        <v>87.5%</v>
      </c>
      <c r="V242" s="22"/>
      <c r="W242" s="20">
        <f t="shared" si="882"/>
        <v>4</v>
      </c>
      <c r="X242" s="20">
        <v>4</v>
      </c>
      <c r="Y242" s="20">
        <v>0</v>
      </c>
      <c r="Z242" s="20" t="str">
        <f t="shared" si="883"/>
        <v>100%</v>
      </c>
      <c r="AA242" s="22"/>
      <c r="AB242" s="20">
        <f t="shared" si="884"/>
        <v>5</v>
      </c>
      <c r="AC242" s="20">
        <v>5</v>
      </c>
      <c r="AD242" s="20">
        <v>0</v>
      </c>
      <c r="AE242" s="20" t="str">
        <f t="shared" si="885"/>
        <v>100%</v>
      </c>
      <c r="AF242" s="22"/>
      <c r="AG242" s="20">
        <f t="shared" si="886"/>
        <v>7</v>
      </c>
      <c r="AH242" s="20">
        <v>6</v>
      </c>
      <c r="AI242" s="20">
        <v>1</v>
      </c>
      <c r="AJ242" s="20" t="str">
        <f t="shared" si="887"/>
        <v>85.71%</v>
      </c>
      <c r="AK242" s="22"/>
      <c r="AL242" s="22"/>
      <c r="AM242" s="22"/>
      <c r="AN242" s="22"/>
      <c r="AO242" s="22"/>
      <c r="AP242" s="22"/>
      <c r="AQ242" s="20">
        <f t="shared" si="888"/>
        <v>2</v>
      </c>
      <c r="AR242" s="20">
        <v>1</v>
      </c>
      <c r="AS242" s="20">
        <v>1</v>
      </c>
      <c r="AT242" s="20" t="str">
        <f t="shared" si="889"/>
        <v>50%</v>
      </c>
      <c r="AU242" s="22"/>
      <c r="AV242" s="20">
        <f t="shared" si="890"/>
        <v>1</v>
      </c>
      <c r="AW242" s="20">
        <v>1</v>
      </c>
      <c r="AX242" s="20">
        <v>0</v>
      </c>
      <c r="AY242" s="20" t="str">
        <f t="shared" si="891"/>
        <v>100%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2</v>
      </c>
      <c r="DO242" s="20">
        <v>1</v>
      </c>
      <c r="DP242" s="20">
        <v>1</v>
      </c>
      <c r="DQ242" s="20" t="str">
        <f t="shared" si="919"/>
        <v>50%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1</v>
      </c>
      <c r="ED242" s="20">
        <v>0</v>
      </c>
      <c r="EE242" s="20">
        <v>1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1</v>
      </c>
      <c r="ES242" s="20">
        <v>1</v>
      </c>
      <c r="ET242" s="20">
        <v>0</v>
      </c>
      <c r="EU242" s="20" t="str">
        <f t="shared" si="931"/>
        <v>100%</v>
      </c>
      <c r="EV242" s="22"/>
      <c r="EW242" s="20">
        <f t="shared" si="932"/>
        <v>4</v>
      </c>
      <c r="EX242" s="20">
        <v>4</v>
      </c>
      <c r="EY242" s="20">
        <v>0</v>
      </c>
      <c r="EZ242" s="20" t="str">
        <f t="shared" si="933"/>
        <v>100%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0</v>
      </c>
      <c r="FR242" s="20">
        <v>0</v>
      </c>
      <c r="FS242" s="20">
        <v>0</v>
      </c>
      <c r="FT242" s="20" t="str">
        <f t="shared" si="941"/>
        <v>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198</v>
      </c>
      <c r="B243" s="22"/>
      <c r="C243" s="22"/>
      <c r="D243" s="22"/>
      <c r="E243" s="22"/>
      <c r="F243" s="22"/>
      <c r="G243" s="22"/>
      <c r="H243" s="20">
        <f>SUM(H242,H241,H240,H239,H238)</f>
        <v>3</v>
      </c>
      <c r="I243" s="20">
        <f>SUM(I242,I241,I240,I239,I238)</f>
        <v>3</v>
      </c>
      <c r="J243" s="20">
        <f>SUM(J242,J241,J240,J239,J238)</f>
        <v>0</v>
      </c>
      <c r="K243" s="20" t="str">
        <f t="shared" si="877"/>
        <v>100%</v>
      </c>
      <c r="L243" s="22"/>
      <c r="M243" s="20">
        <f>SUM(M242,M241,M240,M239,M238)</f>
        <v>5</v>
      </c>
      <c r="N243" s="20">
        <f>SUM(N242,N241,N240,N239,N238)</f>
        <v>4</v>
      </c>
      <c r="O243" s="20">
        <f>SUM(O242,O241,O240,O239,O238)</f>
        <v>1</v>
      </c>
      <c r="P243" s="20" t="str">
        <f t="shared" si="879"/>
        <v>80%</v>
      </c>
      <c r="Q243" s="22"/>
      <c r="R243" s="20">
        <f>SUM(R242,R241,R240,R239,R238)</f>
        <v>10</v>
      </c>
      <c r="S243" s="20">
        <f>SUM(S242,S241,S240,S239,S238)</f>
        <v>9</v>
      </c>
      <c r="T243" s="20">
        <f>SUM(T242,T241,T240,T239,T238)</f>
        <v>1</v>
      </c>
      <c r="U243" s="20" t="str">
        <f t="shared" si="881"/>
        <v>90%</v>
      </c>
      <c r="V243" s="22"/>
      <c r="W243" s="20">
        <f>SUM(W242,W241,W240,W239,W238)</f>
        <v>6</v>
      </c>
      <c r="X243" s="20">
        <f>SUM(X242,X241,X240,X239,X238)</f>
        <v>6</v>
      </c>
      <c r="Y243" s="20">
        <f>SUM(Y242,Y241,Y240,Y239,Y238)</f>
        <v>0</v>
      </c>
      <c r="Z243" s="20" t="str">
        <f t="shared" si="883"/>
        <v>100%</v>
      </c>
      <c r="AA243" s="22"/>
      <c r="AB243" s="20">
        <f>SUM(AB242,AB241,AB240,AB239,AB238)</f>
        <v>5</v>
      </c>
      <c r="AC243" s="20">
        <f>SUM(AC242,AC241,AC240,AC239,AC238)</f>
        <v>5</v>
      </c>
      <c r="AD243" s="20">
        <f>SUM(AD242,AD241,AD240,AD239,AD238)</f>
        <v>0</v>
      </c>
      <c r="AE243" s="20" t="str">
        <f t="shared" si="885"/>
        <v>100%</v>
      </c>
      <c r="AF243" s="22"/>
      <c r="AG243" s="20">
        <f>SUM(AG242,AG241,AG240,AG239,AG238)</f>
        <v>11</v>
      </c>
      <c r="AH243" s="20">
        <f>SUM(AH242,AH241,AH240,AH239,AH238)</f>
        <v>10</v>
      </c>
      <c r="AI243" s="20">
        <f>SUM(AI242,AI241,AI240,AI239,AI238)</f>
        <v>1</v>
      </c>
      <c r="AJ243" s="20" t="str">
        <f t="shared" si="887"/>
        <v>90.91%</v>
      </c>
      <c r="AK243" s="22"/>
      <c r="AL243" s="22"/>
      <c r="AM243" s="22"/>
      <c r="AN243" s="22"/>
      <c r="AO243" s="22"/>
      <c r="AP243" s="22"/>
      <c r="AQ243" s="20">
        <f>SUM(AQ242,AQ241,AQ240,AQ239,AQ238)</f>
        <v>4</v>
      </c>
      <c r="AR243" s="20">
        <f>SUM(AR242,AR241,AR240,AR239,AR238)</f>
        <v>1</v>
      </c>
      <c r="AS243" s="20">
        <f>SUM(AS242,AS241,AS240,AS239,AS238)</f>
        <v>3</v>
      </c>
      <c r="AT243" s="20" t="str">
        <f t="shared" si="889"/>
        <v>25%</v>
      </c>
      <c r="AU243" s="22"/>
      <c r="AV243" s="20">
        <f>SUM(AV242,AV241,AV240,AV239,AV238)</f>
        <v>1</v>
      </c>
      <c r="AW243" s="20">
        <f>SUM(AW242,AW241,AW240,AW239,AW238)</f>
        <v>1</v>
      </c>
      <c r="AX243" s="20">
        <f>SUM(AX242,AX241,AX240,AX239,AX238)</f>
        <v>0</v>
      </c>
      <c r="AY243" s="20" t="str">
        <f t="shared" si="891"/>
        <v>100%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4</v>
      </c>
      <c r="DO243" s="20">
        <f>SUM(DO242,DO241,DO240,DO239,DO238)</f>
        <v>3</v>
      </c>
      <c r="DP243" s="20">
        <f>SUM(DP242,DP241,DP240,DP239,DP238)</f>
        <v>1</v>
      </c>
      <c r="DQ243" s="20" t="str">
        <f t="shared" si="919"/>
        <v>75%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3</v>
      </c>
      <c r="ED243" s="20">
        <f>SUM(ED242,ED241,ED240,ED239,ED238)</f>
        <v>0</v>
      </c>
      <c r="EE243" s="20">
        <f>SUM(EE242,EE241,EE240,EE239,EE238)</f>
        <v>3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1</v>
      </c>
      <c r="ES243" s="20">
        <f>SUM(ES242,ES241,ES240,ES239,ES238)</f>
        <v>1</v>
      </c>
      <c r="ET243" s="20">
        <f>SUM(ET242,ET241,ET240,ET239,ET238)</f>
        <v>0</v>
      </c>
      <c r="EU243" s="20" t="str">
        <f t="shared" si="931"/>
        <v>100%</v>
      </c>
      <c r="EV243" s="22"/>
      <c r="EW243" s="20">
        <f>SUM(EW242,EW241,EW240,EW239,EW238)</f>
        <v>4</v>
      </c>
      <c r="EX243" s="20">
        <f>SUM(EX242,EX241,EX240,EX239,EX238)</f>
        <v>4</v>
      </c>
      <c r="EY243" s="20">
        <f>SUM(EY242,EY241,EY240,EY239,EY238)</f>
        <v>0</v>
      </c>
      <c r="EZ243" s="20" t="str">
        <f t="shared" si="933"/>
        <v>100%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0</v>
      </c>
      <c r="FR243" s="20">
        <f>SUM(FR242,FR241,FR240,FR239,FR238)</f>
        <v>0</v>
      </c>
      <c r="FS243" s="20">
        <f>SUM(FS242,FS241,FS240,FS239,FS238)</f>
        <v>0</v>
      </c>
      <c r="FT243" s="20" t="str">
        <f t="shared" si="941"/>
        <v>0%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196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75%</v>
      </c>
      <c r="V244" s="22"/>
      <c r="W244" s="22"/>
      <c r="X244" s="22"/>
      <c r="Y244" s="22"/>
      <c r="Z244" s="20" t="str">
        <f>(Z241-Z165)*100 &amp; "%"</f>
        <v>66.67%</v>
      </c>
      <c r="AA244" s="22"/>
      <c r="AB244" s="22"/>
      <c r="AC244" s="22"/>
      <c r="AD244" s="22"/>
      <c r="AE244" s="20" t="str">
        <f>(AE241-AE165)*100 &amp; "%"</f>
        <v>-16.67%</v>
      </c>
      <c r="AF244" s="22"/>
      <c r="AG244" s="22"/>
      <c r="AH244" s="22"/>
      <c r="AI244" s="22"/>
      <c r="AJ244" s="20" t="str">
        <f>(AJ241-AJ165)*100 &amp; "%"</f>
        <v>57.14%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0%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197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20%</v>
      </c>
      <c r="L245" s="22"/>
      <c r="M245" s="22"/>
      <c r="N245" s="22"/>
      <c r="O245" s="22"/>
      <c r="P245" s="20" t="str">
        <f>(P242-P106)*100 &amp; "%"</f>
        <v>5%</v>
      </c>
      <c r="Q245" s="22"/>
      <c r="R245" s="22"/>
      <c r="S245" s="22"/>
      <c r="T245" s="22"/>
      <c r="U245" s="20" t="str">
        <f>(U242-U106)*100 &amp; "%"</f>
        <v>20.83%</v>
      </c>
      <c r="V245" s="22"/>
      <c r="W245" s="22"/>
      <c r="X245" s="22"/>
      <c r="Y245" s="22"/>
      <c r="Z245" s="20" t="str">
        <f>(Z242-Z106)*100 &amp; "%"</f>
        <v>23.08%</v>
      </c>
      <c r="AA245" s="22"/>
      <c r="AB245" s="22"/>
      <c r="AC245" s="22"/>
      <c r="AD245" s="22"/>
      <c r="AE245" s="20" t="str">
        <f>(AE242-AE106)*100 &amp; "%"</f>
        <v>30.77%</v>
      </c>
      <c r="AF245" s="22"/>
      <c r="AG245" s="22"/>
      <c r="AH245" s="22"/>
      <c r="AI245" s="22"/>
      <c r="AJ245" s="20" t="str">
        <f>(AJ242-AJ106)*100 &amp; "%"</f>
        <v>-5.96%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10%</v>
      </c>
      <c r="AU245" s="22"/>
      <c r="AV245" s="22"/>
      <c r="AW245" s="22"/>
      <c r="AX245" s="22"/>
      <c r="AY245" s="20" t="str">
        <f>(AY242-AY106)*100 &amp; "%"</f>
        <v>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-16.67%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50%</v>
      </c>
      <c r="EV245" s="22"/>
      <c r="EW245" s="22"/>
      <c r="EX245" s="22"/>
      <c r="EY245" s="22"/>
      <c r="EZ245" s="20" t="str">
        <f>(EZ242-EZ106)*100 &amp; "%"</f>
        <v>0%</v>
      </c>
      <c r="FA245" s="22"/>
      <c r="FB245" s="22"/>
      <c r="FC245" s="22"/>
      <c r="FD245" s="22"/>
      <c r="FE245" s="20" t="str">
        <f>(FE242-FE106)*100 &amp; "%"</f>
        <v>0%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0%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199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0.375</v>
      </c>
      <c r="L246" s="22"/>
      <c r="M246" s="22"/>
      <c r="N246" s="22"/>
      <c r="O246" s="22"/>
      <c r="P246" s="23">
        <f>P243-P166</f>
        <v>1.430000000000009E-2</v>
      </c>
      <c r="Q246" s="22"/>
      <c r="R246" s="22"/>
      <c r="S246" s="22"/>
      <c r="T246" s="22"/>
      <c r="U246" s="23">
        <f>U243-U166</f>
        <v>0.33750000000000002</v>
      </c>
      <c r="V246" s="22"/>
      <c r="W246" s="22"/>
      <c r="X246" s="22"/>
      <c r="Y246" s="22"/>
      <c r="Z246" s="23">
        <f>Z243-Z166</f>
        <v>0.36839999999999995</v>
      </c>
      <c r="AA246" s="22"/>
      <c r="AB246" s="22"/>
      <c r="AC246" s="22"/>
      <c r="AD246" s="22"/>
      <c r="AE246" s="23">
        <f>AE243-AE166</f>
        <v>0.47370000000000001</v>
      </c>
      <c r="AF246" s="22"/>
      <c r="AG246" s="22"/>
      <c r="AH246" s="22"/>
      <c r="AI246" s="22"/>
      <c r="AJ246" s="23">
        <f>AJ243-AJ166</f>
        <v>0.17230000000000001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2.7799999999999991E-2</v>
      </c>
      <c r="AU246" s="22"/>
      <c r="AV246" s="22"/>
      <c r="AW246" s="22"/>
      <c r="AX246" s="22"/>
      <c r="AY246" s="23">
        <f>AY243-AY166</f>
        <v>0.66670000000000007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0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0.4</v>
      </c>
      <c r="EV246" s="22"/>
      <c r="EW246" s="22"/>
      <c r="EX246" s="22"/>
      <c r="EY246" s="22"/>
      <c r="EZ246" s="23">
        <f>EZ243-EZ166</f>
        <v>0</v>
      </c>
      <c r="FA246" s="22"/>
      <c r="FB246" s="22"/>
      <c r="FC246" s="22"/>
      <c r="FD246" s="22"/>
      <c r="FE246" s="23">
        <f>FE243-FE166</f>
        <v>0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193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1</v>
      </c>
      <c r="AM249" s="20">
        <v>0</v>
      </c>
      <c r="AN249" s="20">
        <v>1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192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0</v>
      </c>
      <c r="X250" s="20">
        <v>0</v>
      </c>
      <c r="Y250" s="20">
        <v>0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2</v>
      </c>
      <c r="AH250" s="20">
        <v>0</v>
      </c>
      <c r="AI250" s="20">
        <v>2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194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1</v>
      </c>
      <c r="X251" s="20">
        <v>0</v>
      </c>
      <c r="Y251" s="20">
        <v>1</v>
      </c>
      <c r="Z251" s="20" t="str">
        <f t="shared" si="953"/>
        <v>0%</v>
      </c>
      <c r="AA251" s="22"/>
      <c r="AB251" s="20">
        <f t="shared" si="954"/>
        <v>0</v>
      </c>
      <c r="AC251" s="20">
        <v>0</v>
      </c>
      <c r="AD251" s="20">
        <v>0</v>
      </c>
      <c r="AE251" s="20" t="str">
        <f t="shared" si="955"/>
        <v>0%</v>
      </c>
      <c r="AF251" s="22"/>
      <c r="AG251" s="20">
        <f t="shared" si="956"/>
        <v>0</v>
      </c>
      <c r="AH251" s="20">
        <v>0</v>
      </c>
      <c r="AI251" s="20">
        <v>0</v>
      </c>
      <c r="AJ251" s="20" t="str">
        <f t="shared" si="957"/>
        <v>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1</v>
      </c>
      <c r="ED251" s="20">
        <v>0</v>
      </c>
      <c r="EE251" s="20">
        <v>1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195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1</v>
      </c>
      <c r="X252" s="20">
        <v>0</v>
      </c>
      <c r="Y252" s="20">
        <v>1</v>
      </c>
      <c r="Z252" s="20" t="str">
        <f t="shared" si="953"/>
        <v>0%</v>
      </c>
      <c r="AA252" s="22"/>
      <c r="AB252" s="20">
        <f t="shared" si="954"/>
        <v>0</v>
      </c>
      <c r="AC252" s="20">
        <v>0</v>
      </c>
      <c r="AD252" s="20">
        <v>0</v>
      </c>
      <c r="AE252" s="20" t="str">
        <f t="shared" si="955"/>
        <v>0%</v>
      </c>
      <c r="AF252" s="22"/>
      <c r="AG252" s="20">
        <f t="shared" si="956"/>
        <v>2</v>
      </c>
      <c r="AH252" s="20">
        <v>0</v>
      </c>
      <c r="AI252" s="20">
        <v>2</v>
      </c>
      <c r="AJ252" s="20" t="str">
        <f t="shared" si="957"/>
        <v>0%</v>
      </c>
      <c r="AK252" s="22"/>
      <c r="AL252" s="20">
        <f t="shared" si="958"/>
        <v>1</v>
      </c>
      <c r="AM252" s="20">
        <v>0</v>
      </c>
      <c r="AN252" s="20">
        <v>1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1</v>
      </c>
      <c r="ED252" s="20">
        <v>0</v>
      </c>
      <c r="EE252" s="20">
        <v>1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191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4</v>
      </c>
      <c r="N253" s="20">
        <v>1</v>
      </c>
      <c r="O253" s="20">
        <v>3</v>
      </c>
      <c r="P253" s="20" t="str">
        <f t="shared" si="949"/>
        <v>25%</v>
      </c>
      <c r="Q253" s="22"/>
      <c r="R253" s="20">
        <f t="shared" si="950"/>
        <v>3</v>
      </c>
      <c r="S253" s="20">
        <v>1</v>
      </c>
      <c r="T253" s="20">
        <v>2</v>
      </c>
      <c r="U253" s="20" t="str">
        <f t="shared" si="951"/>
        <v>33.33%</v>
      </c>
      <c r="V253" s="22"/>
      <c r="W253" s="20">
        <f t="shared" si="952"/>
        <v>1</v>
      </c>
      <c r="X253" s="20">
        <v>0</v>
      </c>
      <c r="Y253" s="20">
        <v>1</v>
      </c>
      <c r="Z253" s="20" t="str">
        <f t="shared" si="953"/>
        <v>0%</v>
      </c>
      <c r="AA253" s="22"/>
      <c r="AB253" s="20">
        <f t="shared" si="954"/>
        <v>2</v>
      </c>
      <c r="AC253" s="20">
        <v>0</v>
      </c>
      <c r="AD253" s="20">
        <v>2</v>
      </c>
      <c r="AE253" s="20" t="str">
        <f t="shared" si="955"/>
        <v>0%</v>
      </c>
      <c r="AF253" s="22"/>
      <c r="AG253" s="20">
        <f t="shared" si="956"/>
        <v>2</v>
      </c>
      <c r="AH253" s="20">
        <v>1</v>
      </c>
      <c r="AI253" s="20">
        <v>1</v>
      </c>
      <c r="AJ253" s="20" t="str">
        <f t="shared" si="957"/>
        <v>50%</v>
      </c>
      <c r="AK253" s="22"/>
      <c r="AL253" s="20">
        <f t="shared" si="958"/>
        <v>2</v>
      </c>
      <c r="AM253" s="20">
        <v>1</v>
      </c>
      <c r="AN253" s="20">
        <v>1</v>
      </c>
      <c r="AO253" s="20" t="str">
        <f t="shared" si="959"/>
        <v>50%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2</v>
      </c>
      <c r="DO253" s="20">
        <v>1</v>
      </c>
      <c r="DP253" s="20">
        <v>1</v>
      </c>
      <c r="DQ253" s="20" t="str">
        <f t="shared" si="989"/>
        <v>50%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3</v>
      </c>
      <c r="ED253" s="20">
        <v>0</v>
      </c>
      <c r="EE253" s="20">
        <v>3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3</v>
      </c>
      <c r="ES253" s="20">
        <v>1</v>
      </c>
      <c r="ET253" s="20">
        <v>2</v>
      </c>
      <c r="EU253" s="20" t="str">
        <f t="shared" si="1001"/>
        <v>33.33%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198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4</v>
      </c>
      <c r="N254" s="20">
        <f>SUM(N253,N252,N251,N250,N249)</f>
        <v>1</v>
      </c>
      <c r="O254" s="20">
        <f>SUM(O253,O252,O251,O250,O249)</f>
        <v>3</v>
      </c>
      <c r="P254" s="20" t="str">
        <f t="shared" si="949"/>
        <v>25%</v>
      </c>
      <c r="Q254" s="22"/>
      <c r="R254" s="20">
        <f>SUM(R253,R252,R251,R250,R249)</f>
        <v>3</v>
      </c>
      <c r="S254" s="20">
        <f>SUM(S253,S252,S251,S250,S249)</f>
        <v>1</v>
      </c>
      <c r="T254" s="20">
        <f>SUM(T253,T252,T251,T250,T249)</f>
        <v>2</v>
      </c>
      <c r="U254" s="20" t="str">
        <f t="shared" si="951"/>
        <v>33.33%</v>
      </c>
      <c r="V254" s="22"/>
      <c r="W254" s="20">
        <f>SUM(W253,W252,W251,W250,W249)</f>
        <v>3</v>
      </c>
      <c r="X254" s="20">
        <f>SUM(X253,X252,X251,X250,X249)</f>
        <v>0</v>
      </c>
      <c r="Y254" s="20">
        <f>SUM(Y253,Y252,Y251,Y250,Y249)</f>
        <v>3</v>
      </c>
      <c r="Z254" s="20" t="str">
        <f t="shared" si="953"/>
        <v>0%</v>
      </c>
      <c r="AA254" s="22"/>
      <c r="AB254" s="20">
        <f>SUM(AB253,AB252,AB251,AB250,AB249)</f>
        <v>2</v>
      </c>
      <c r="AC254" s="20">
        <f>SUM(AC253,AC252,AC251,AC250,AC249)</f>
        <v>0</v>
      </c>
      <c r="AD254" s="20">
        <f>SUM(AD253,AD252,AD251,AD250,AD249)</f>
        <v>2</v>
      </c>
      <c r="AE254" s="20" t="str">
        <f t="shared" si="955"/>
        <v>0%</v>
      </c>
      <c r="AF254" s="22"/>
      <c r="AG254" s="20">
        <f>SUM(AG253,AG252,AG251,AG250,AG249)</f>
        <v>6</v>
      </c>
      <c r="AH254" s="20">
        <f>SUM(AH253,AH252,AH251,AH250,AH249)</f>
        <v>1</v>
      </c>
      <c r="AI254" s="20">
        <f>SUM(AI253,AI252,AI251,AI250,AI249)</f>
        <v>5</v>
      </c>
      <c r="AJ254" s="20" t="str">
        <f t="shared" si="957"/>
        <v>16.67%</v>
      </c>
      <c r="AK254" s="22"/>
      <c r="AL254" s="20">
        <f>SUM(AL253,AL252,AL251,AL250,AL249)</f>
        <v>4</v>
      </c>
      <c r="AM254" s="20">
        <f>SUM(AM253,AM252,AM251,AM250,AM249)</f>
        <v>1</v>
      </c>
      <c r="AN254" s="20">
        <f>SUM(AN253,AN252,AN251,AN250,AN249)</f>
        <v>3</v>
      </c>
      <c r="AO254" s="20" t="str">
        <f t="shared" si="959"/>
        <v>25%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2</v>
      </c>
      <c r="DO254" s="20">
        <f>SUM(DO253,DO252,DO251,DO250,DO249)</f>
        <v>1</v>
      </c>
      <c r="DP254" s="20">
        <f>SUM(DP253,DP252,DP251,DP250,DP249)</f>
        <v>1</v>
      </c>
      <c r="DQ254" s="20" t="str">
        <f t="shared" si="989"/>
        <v>50%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5</v>
      </c>
      <c r="ED254" s="20">
        <f>SUM(ED253,ED252,ED251,ED250,ED249)</f>
        <v>0</v>
      </c>
      <c r="EE254" s="20">
        <f>SUM(EE253,EE252,EE251,EE250,EE249)</f>
        <v>5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3</v>
      </c>
      <c r="ES254" s="20">
        <f>SUM(ES253,ES252,ES251,ES250,ES249)</f>
        <v>1</v>
      </c>
      <c r="ET254" s="20">
        <f>SUM(ET253,ET252,ET251,ET250,ET249)</f>
        <v>2</v>
      </c>
      <c r="EU254" s="20" t="str">
        <f t="shared" si="1001"/>
        <v>33.33%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196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-25%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-16.67%</v>
      </c>
      <c r="AF255" s="22"/>
      <c r="AG255" s="22"/>
      <c r="AH255" s="22"/>
      <c r="AI255" s="22"/>
      <c r="AJ255" s="20" t="str">
        <f>(AJ252-AJ165)*100 &amp; "%"</f>
        <v>-42.86%</v>
      </c>
      <c r="AK255" s="22"/>
      <c r="AL255" s="22"/>
      <c r="AM255" s="22"/>
      <c r="AN255" s="22"/>
      <c r="AO255" s="20" t="str">
        <f>(AO252-AO165)*100 &amp; "%"</f>
        <v>-33.33%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197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-50%</v>
      </c>
      <c r="Q256" s="22"/>
      <c r="R256" s="22"/>
      <c r="S256" s="22"/>
      <c r="T256" s="22"/>
      <c r="U256" s="20" t="str">
        <f>(U253-U106)*100 &amp; "%"</f>
        <v>-33.34%</v>
      </c>
      <c r="V256" s="22"/>
      <c r="W256" s="22"/>
      <c r="X256" s="22"/>
      <c r="Y256" s="22"/>
      <c r="Z256" s="20" t="str">
        <f>(Z253-Z106)*100 &amp; "%"</f>
        <v>-76.92%</v>
      </c>
      <c r="AA256" s="22"/>
      <c r="AB256" s="22"/>
      <c r="AC256" s="22"/>
      <c r="AD256" s="22"/>
      <c r="AE256" s="20" t="str">
        <f>(AE253-AE106)*100 &amp; "%"</f>
        <v>-69.23%</v>
      </c>
      <c r="AF256" s="22"/>
      <c r="AG256" s="22"/>
      <c r="AH256" s="22"/>
      <c r="AI256" s="22"/>
      <c r="AJ256" s="20" t="str">
        <f>(AJ253-AJ106)*100 &amp; "%"</f>
        <v>-41.67%</v>
      </c>
      <c r="AK256" s="22"/>
      <c r="AL256" s="22"/>
      <c r="AM256" s="22"/>
      <c r="AN256" s="22"/>
      <c r="AO256" s="20" t="str">
        <f>(AO253-AO106)*100 &amp; "%"</f>
        <v>-37.5%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-16.67%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-16.67%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0%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0%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199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-0.53569999999999995</v>
      </c>
      <c r="Q257" s="22"/>
      <c r="R257" s="22"/>
      <c r="S257" s="22"/>
      <c r="T257" s="22"/>
      <c r="U257" s="23">
        <f>U254-U166</f>
        <v>-0.22920000000000001</v>
      </c>
      <c r="V257" s="22"/>
      <c r="W257" s="22"/>
      <c r="X257" s="22"/>
      <c r="Y257" s="22"/>
      <c r="Z257" s="23">
        <f>Z254-Z166</f>
        <v>-0.63160000000000005</v>
      </c>
      <c r="AA257" s="22"/>
      <c r="AB257" s="22"/>
      <c r="AC257" s="22"/>
      <c r="AD257" s="22"/>
      <c r="AE257" s="23">
        <f>AE254-AE166</f>
        <v>-0.52629999999999999</v>
      </c>
      <c r="AF257" s="22"/>
      <c r="AG257" s="22"/>
      <c r="AH257" s="22"/>
      <c r="AI257" s="22"/>
      <c r="AJ257" s="23">
        <f>AJ254-AJ166</f>
        <v>-0.57010000000000005</v>
      </c>
      <c r="AK257" s="22"/>
      <c r="AL257" s="22"/>
      <c r="AM257" s="22"/>
      <c r="AN257" s="22"/>
      <c r="AO257" s="23">
        <f>AO254-AO166</f>
        <v>-0.47729999999999995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-0.25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-0.26669999999999999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0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0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193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1</v>
      </c>
      <c r="AC260" s="20">
        <v>0</v>
      </c>
      <c r="AD260" s="20">
        <v>1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192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1</v>
      </c>
      <c r="X261" s="20">
        <v>0</v>
      </c>
      <c r="Y261" s="20">
        <v>1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194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1</v>
      </c>
      <c r="GB262" s="20">
        <v>0</v>
      </c>
      <c r="GC262" s="20">
        <v>1</v>
      </c>
      <c r="GD262" s="20" t="str">
        <f t="shared" si="1085"/>
        <v>0%</v>
      </c>
      <c r="GE262" s="3"/>
    </row>
    <row r="263" spans="1:187" x14ac:dyDescent="0.25">
      <c r="A263" s="21" t="s">
        <v>195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1</v>
      </c>
      <c r="X263" s="20">
        <v>0</v>
      </c>
      <c r="Y263" s="20">
        <v>1</v>
      </c>
      <c r="Z263" s="20" t="str">
        <f t="shared" si="1023"/>
        <v>0%</v>
      </c>
      <c r="AA263" s="22"/>
      <c r="AB263" s="20">
        <f t="shared" si="1024"/>
        <v>1</v>
      </c>
      <c r="AC263" s="20">
        <v>0</v>
      </c>
      <c r="AD263" s="20">
        <v>1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1</v>
      </c>
      <c r="GB263" s="20">
        <v>0</v>
      </c>
      <c r="GC263" s="20">
        <v>1</v>
      </c>
      <c r="GD263" s="20" t="str">
        <f t="shared" si="1085"/>
        <v>0%</v>
      </c>
      <c r="GE263" s="3"/>
    </row>
    <row r="264" spans="1:187" x14ac:dyDescent="0.25">
      <c r="A264" s="21" t="s">
        <v>191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1</v>
      </c>
      <c r="N264" s="20">
        <v>1</v>
      </c>
      <c r="O264" s="20">
        <v>0</v>
      </c>
      <c r="P264" s="20" t="str">
        <f t="shared" si="1019"/>
        <v>100%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1</v>
      </c>
      <c r="X264" s="20">
        <v>1</v>
      </c>
      <c r="Y264" s="20">
        <v>0</v>
      </c>
      <c r="Z264" s="20" t="str">
        <f t="shared" si="1023"/>
        <v>100%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1</v>
      </c>
      <c r="AH264" s="20">
        <v>1</v>
      </c>
      <c r="AI264" s="20">
        <v>0</v>
      </c>
      <c r="AJ264" s="20" t="str">
        <f t="shared" si="1027"/>
        <v>100%</v>
      </c>
      <c r="AK264" s="22"/>
      <c r="AL264" s="20">
        <f t="shared" si="1028"/>
        <v>1</v>
      </c>
      <c r="AM264" s="20">
        <v>1</v>
      </c>
      <c r="AN264" s="20">
        <v>0</v>
      </c>
      <c r="AO264" s="20" t="str">
        <f t="shared" si="1029"/>
        <v>100%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198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1</v>
      </c>
      <c r="N265" s="20">
        <f>SUM(N264,N263,N262,N261,N260)</f>
        <v>1</v>
      </c>
      <c r="O265" s="20">
        <f>SUM(O264,O263,O262,O261,O260)</f>
        <v>0</v>
      </c>
      <c r="P265" s="20" t="str">
        <f t="shared" si="1019"/>
        <v>100%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3</v>
      </c>
      <c r="X265" s="20">
        <f>SUM(X264,X263,X262,X261,X260)</f>
        <v>1</v>
      </c>
      <c r="Y265" s="20">
        <f>SUM(Y264,Y263,Y262,Y261,Y260)</f>
        <v>2</v>
      </c>
      <c r="Z265" s="20" t="str">
        <f t="shared" si="1023"/>
        <v>33.33%</v>
      </c>
      <c r="AA265" s="22"/>
      <c r="AB265" s="20">
        <f>SUM(AB264,AB263,AB262,AB261,AB260)</f>
        <v>2</v>
      </c>
      <c r="AC265" s="20">
        <f>SUM(AC264,AC263,AC262,AC261,AC260)</f>
        <v>0</v>
      </c>
      <c r="AD265" s="20">
        <f>SUM(AD264,AD263,AD262,AD261,AD260)</f>
        <v>2</v>
      </c>
      <c r="AE265" s="20" t="str">
        <f t="shared" si="1025"/>
        <v>0%</v>
      </c>
      <c r="AF265" s="22"/>
      <c r="AG265" s="20">
        <f>SUM(AG264,AG263,AG262,AG261,AG260)</f>
        <v>1</v>
      </c>
      <c r="AH265" s="20">
        <f>SUM(AH264,AH263,AH262,AH261,AH260)</f>
        <v>1</v>
      </c>
      <c r="AI265" s="20">
        <f>SUM(AI264,AI263,AI262,AI261,AI260)</f>
        <v>0</v>
      </c>
      <c r="AJ265" s="20" t="str">
        <f t="shared" si="1027"/>
        <v>100%</v>
      </c>
      <c r="AK265" s="22"/>
      <c r="AL265" s="20">
        <f>SUM(AL264,AL263,AL262,AL261,AL260)</f>
        <v>1</v>
      </c>
      <c r="AM265" s="20">
        <f>SUM(AM264,AM263,AM262,AM261,AM260)</f>
        <v>1</v>
      </c>
      <c r="AN265" s="20">
        <f>SUM(AN264,AN263,AN262,AN261,AN260)</f>
        <v>0</v>
      </c>
      <c r="AO265" s="20" t="str">
        <f t="shared" si="1029"/>
        <v>100%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2</v>
      </c>
      <c r="GB265" s="20">
        <f>SUM(GB264,GB263,GB262,GB261,GB260)</f>
        <v>0</v>
      </c>
      <c r="GC265" s="20">
        <f>SUM(GC264,GC263,GC262,GC261,GC260)</f>
        <v>2</v>
      </c>
      <c r="GD265" s="20" t="str">
        <f t="shared" si="1085"/>
        <v>0%</v>
      </c>
      <c r="GE265" s="3"/>
    </row>
    <row r="266" spans="1:187" x14ac:dyDescent="0.25">
      <c r="A266" s="21" t="s">
        <v>196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-25%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-16.67%</v>
      </c>
      <c r="AF266" s="22"/>
      <c r="AG266" s="22"/>
      <c r="AH266" s="22"/>
      <c r="AI266" s="22"/>
      <c r="AJ266" s="20" t="str">
        <f>(AJ263-AJ165)*100 &amp; "%"</f>
        <v>-42.86%</v>
      </c>
      <c r="AK266" s="22"/>
      <c r="AL266" s="22"/>
      <c r="AM266" s="22"/>
      <c r="AN266" s="22"/>
      <c r="AO266" s="20" t="str">
        <f>(AO263-AO165)*100 &amp; "%"</f>
        <v>-33.33%</v>
      </c>
      <c r="AP266" s="22"/>
      <c r="AQ266" s="22"/>
      <c r="AR266" s="22"/>
      <c r="AS266" s="22"/>
      <c r="AT266" s="20" t="str">
        <f>(AT263-AT165)*100 &amp; "%"</f>
        <v>0%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197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25%</v>
      </c>
      <c r="Q267" s="22"/>
      <c r="R267" s="22"/>
      <c r="S267" s="22"/>
      <c r="T267" s="22"/>
      <c r="U267" s="20" t="str">
        <f>(U264-U106)*100 &amp; "%"</f>
        <v>-66.67%</v>
      </c>
      <c r="V267" s="22"/>
      <c r="W267" s="22"/>
      <c r="X267" s="22"/>
      <c r="Y267" s="22"/>
      <c r="Z267" s="20" t="str">
        <f>(Z264-Z106)*100 &amp; "%"</f>
        <v>23.08%</v>
      </c>
      <c r="AA267" s="22"/>
      <c r="AB267" s="22"/>
      <c r="AC267" s="22"/>
      <c r="AD267" s="22"/>
      <c r="AE267" s="20" t="str">
        <f>(AE264-AE106)*100 &amp; "%"</f>
        <v>-69.23%</v>
      </c>
      <c r="AF267" s="22"/>
      <c r="AG267" s="22"/>
      <c r="AH267" s="22"/>
      <c r="AI267" s="22"/>
      <c r="AJ267" s="20" t="str">
        <f>(AJ264-AJ106)*100 &amp; "%"</f>
        <v>8.33%</v>
      </c>
      <c r="AK267" s="22"/>
      <c r="AL267" s="22"/>
      <c r="AM267" s="22"/>
      <c r="AN267" s="22"/>
      <c r="AO267" s="20" t="str">
        <f>(AO264-AO106)*100 &amp; "%"</f>
        <v>12.5%</v>
      </c>
      <c r="AP267" s="22"/>
      <c r="AQ267" s="22"/>
      <c r="AR267" s="22"/>
      <c r="AS267" s="22"/>
      <c r="AT267" s="20" t="str">
        <f>(AT264-AT106)*100 &amp; "%"</f>
        <v>-40%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0%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0%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199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0.21430000000000005</v>
      </c>
      <c r="Q268" s="22"/>
      <c r="R268" s="22"/>
      <c r="S268" s="22"/>
      <c r="T268" s="22"/>
      <c r="U268" s="23">
        <f>U265-U166</f>
        <v>-0.5625</v>
      </c>
      <c r="V268" s="22"/>
      <c r="W268" s="22"/>
      <c r="X268" s="22"/>
      <c r="Y268" s="22"/>
      <c r="Z268" s="23">
        <f>Z265-Z166</f>
        <v>-0.29830000000000007</v>
      </c>
      <c r="AA268" s="22"/>
      <c r="AB268" s="22"/>
      <c r="AC268" s="22"/>
      <c r="AD268" s="22"/>
      <c r="AE268" s="23">
        <f>AE265-AE166</f>
        <v>-0.52629999999999999</v>
      </c>
      <c r="AF268" s="22"/>
      <c r="AG268" s="22"/>
      <c r="AH268" s="22"/>
      <c r="AI268" s="22"/>
      <c r="AJ268" s="23">
        <f>AJ265-AJ166</f>
        <v>0.26319999999999999</v>
      </c>
      <c r="AK268" s="22"/>
      <c r="AL268" s="22"/>
      <c r="AM268" s="22"/>
      <c r="AN268" s="22"/>
      <c r="AO268" s="23">
        <f>AO265-AO166</f>
        <v>0.27270000000000005</v>
      </c>
      <c r="AP268" s="22"/>
      <c r="AQ268" s="22"/>
      <c r="AR268" s="22"/>
      <c r="AS268" s="22"/>
      <c r="AT268" s="23">
        <f>AT265-AT166</f>
        <v>-0.22220000000000001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0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0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193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192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194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195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191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198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196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-25%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-16.67%</v>
      </c>
      <c r="AF277" s="22"/>
      <c r="AG277" s="22"/>
      <c r="AH277" s="22"/>
      <c r="AI277" s="22"/>
      <c r="AJ277" s="20" t="str">
        <f>(AJ274-AJ165)*100 &amp; "%"</f>
        <v>-42.86%</v>
      </c>
      <c r="AK277" s="22"/>
      <c r="AL277" s="22"/>
      <c r="AM277" s="22"/>
      <c r="AN277" s="22"/>
      <c r="AO277" s="20" t="str">
        <f>(AO274-AO165)*100 &amp; "%"</f>
        <v>-33.33%</v>
      </c>
      <c r="AP277" s="22"/>
      <c r="AQ277" s="22"/>
      <c r="AR277" s="22"/>
      <c r="AS277" s="22"/>
      <c r="AT277" s="20" t="str">
        <f>(AT274-AT165)*100 &amp; "%"</f>
        <v>0%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197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-66.67%</v>
      </c>
      <c r="V278" s="22"/>
      <c r="W278" s="22"/>
      <c r="X278" s="22"/>
      <c r="Y278" s="22"/>
      <c r="Z278" s="20" t="str">
        <f>(Z275-Z106)*100 &amp; "%"</f>
        <v>-76.92%</v>
      </c>
      <c r="AA278" s="22"/>
      <c r="AB278" s="22"/>
      <c r="AC278" s="22"/>
      <c r="AD278" s="22"/>
      <c r="AE278" s="20" t="str">
        <f>(AE275-AE106)*100 &amp; "%"</f>
        <v>-69.23%</v>
      </c>
      <c r="AF278" s="22"/>
      <c r="AG278" s="22"/>
      <c r="AH278" s="22"/>
      <c r="AI278" s="22"/>
      <c r="AJ278" s="20" t="str">
        <f>(AJ275-AJ106)*100 &amp; "%"</f>
        <v>-91.67%</v>
      </c>
      <c r="AK278" s="22"/>
      <c r="AL278" s="22"/>
      <c r="AM278" s="22"/>
      <c r="AN278" s="22"/>
      <c r="AO278" s="20" t="str">
        <f>(AO275-AO106)*100 &amp; "%"</f>
        <v>-87.5%</v>
      </c>
      <c r="AP278" s="22"/>
      <c r="AQ278" s="22"/>
      <c r="AR278" s="22"/>
      <c r="AS278" s="22"/>
      <c r="AT278" s="20" t="str">
        <f>(AT275-AT106)*100 &amp; "%"</f>
        <v>-40%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0%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0%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199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-0.5625</v>
      </c>
      <c r="V279" s="22"/>
      <c r="W279" s="22"/>
      <c r="X279" s="22"/>
      <c r="Y279" s="22"/>
      <c r="Z279" s="23">
        <f>Z276-Z166</f>
        <v>-0.63160000000000005</v>
      </c>
      <c r="AA279" s="22"/>
      <c r="AB279" s="22"/>
      <c r="AC279" s="22"/>
      <c r="AD279" s="22"/>
      <c r="AE279" s="23">
        <f>AE276-AE166</f>
        <v>-0.52629999999999999</v>
      </c>
      <c r="AF279" s="22"/>
      <c r="AG279" s="22"/>
      <c r="AH279" s="22"/>
      <c r="AI279" s="22"/>
      <c r="AJ279" s="23">
        <f>AJ276-AJ166</f>
        <v>-0.73680000000000001</v>
      </c>
      <c r="AK279" s="22"/>
      <c r="AL279" s="22"/>
      <c r="AM279" s="22"/>
      <c r="AN279" s="22"/>
      <c r="AO279" s="23">
        <f>AO276-AO166</f>
        <v>-0.72729999999999995</v>
      </c>
      <c r="AP279" s="22"/>
      <c r="AQ279" s="22"/>
      <c r="AR279" s="22"/>
      <c r="AS279" s="22"/>
      <c r="AT279" s="23">
        <f>AT276-AT166</f>
        <v>-0.22220000000000001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0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0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193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192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194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195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191</v>
      </c>
      <c r="B286" s="22"/>
      <c r="C286" s="22"/>
      <c r="D286" s="22"/>
      <c r="E286" s="22"/>
      <c r="F286" s="22"/>
      <c r="G286" s="22"/>
      <c r="H286" s="20">
        <f t="shared" si="1156"/>
        <v>1</v>
      </c>
      <c r="I286" s="20">
        <v>1</v>
      </c>
      <c r="J286" s="20">
        <v>0</v>
      </c>
      <c r="K286" s="20" t="str">
        <f t="shared" si="1157"/>
        <v>100%</v>
      </c>
      <c r="L286" s="22"/>
      <c r="M286" s="20">
        <f t="shared" si="1158"/>
        <v>1</v>
      </c>
      <c r="N286" s="20">
        <v>1</v>
      </c>
      <c r="O286" s="20">
        <v>0</v>
      </c>
      <c r="P286" s="20" t="str">
        <f t="shared" si="1159"/>
        <v>100%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1</v>
      </c>
      <c r="X286" s="20">
        <v>1</v>
      </c>
      <c r="Y286" s="20">
        <v>0</v>
      </c>
      <c r="Z286" s="20" t="str">
        <f t="shared" si="1163"/>
        <v>100%</v>
      </c>
      <c r="AA286" s="22"/>
      <c r="AB286" s="20">
        <f t="shared" si="1164"/>
        <v>1</v>
      </c>
      <c r="AC286" s="20">
        <v>1</v>
      </c>
      <c r="AD286" s="20">
        <v>0</v>
      </c>
      <c r="AE286" s="20" t="str">
        <f t="shared" si="1165"/>
        <v>100%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1</v>
      </c>
      <c r="DJ286" s="20">
        <v>1</v>
      </c>
      <c r="DK286" s="20">
        <v>0</v>
      </c>
      <c r="DL286" s="20" t="str">
        <f t="shared" si="1197"/>
        <v>100%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198</v>
      </c>
      <c r="B287" s="22"/>
      <c r="C287" s="22"/>
      <c r="D287" s="22"/>
      <c r="E287" s="22"/>
      <c r="F287" s="22"/>
      <c r="G287" s="22"/>
      <c r="H287" s="20">
        <f>SUM(H286,H285,H284,H283,H282)</f>
        <v>1</v>
      </c>
      <c r="I287" s="20">
        <f>SUM(I286,I285,I284,I283,I282)</f>
        <v>1</v>
      </c>
      <c r="J287" s="20">
        <f>SUM(J286,J285,J284,J283,J282)</f>
        <v>0</v>
      </c>
      <c r="K287" s="20" t="str">
        <f t="shared" si="1157"/>
        <v>100%</v>
      </c>
      <c r="L287" s="22"/>
      <c r="M287" s="20">
        <f>SUM(M286,M285,M284,M283,M282)</f>
        <v>1</v>
      </c>
      <c r="N287" s="20">
        <f>SUM(N286,N285,N284,N283,N282)</f>
        <v>1</v>
      </c>
      <c r="O287" s="20">
        <f>SUM(O286,O285,O284,O283,O282)</f>
        <v>0</v>
      </c>
      <c r="P287" s="20" t="str">
        <f t="shared" si="1159"/>
        <v>100%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1</v>
      </c>
      <c r="X287" s="20">
        <f>SUM(X286,X285,X284,X283,X282)</f>
        <v>1</v>
      </c>
      <c r="Y287" s="20">
        <f>SUM(Y286,Y285,Y284,Y283,Y282)</f>
        <v>0</v>
      </c>
      <c r="Z287" s="20" t="str">
        <f t="shared" si="1163"/>
        <v>100%</v>
      </c>
      <c r="AA287" s="22"/>
      <c r="AB287" s="20">
        <f>SUM(AB286,AB285,AB284,AB283,AB282)</f>
        <v>1</v>
      </c>
      <c r="AC287" s="20">
        <f>SUM(AC286,AC285,AC284,AC283,AC282)</f>
        <v>1</v>
      </c>
      <c r="AD287" s="20">
        <f>SUM(AD286,AD285,AD284,AD283,AD282)</f>
        <v>0</v>
      </c>
      <c r="AE287" s="20" t="str">
        <f t="shared" si="1165"/>
        <v>100%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1</v>
      </c>
      <c r="DJ287" s="20">
        <f>SUM(DJ286,DJ285,DJ284,DJ283,DJ282)</f>
        <v>1</v>
      </c>
      <c r="DK287" s="20">
        <f>SUM(DK286,DK285,DK284,DK283,DK282)</f>
        <v>0</v>
      </c>
      <c r="DL287" s="20" t="str">
        <f t="shared" si="1197"/>
        <v>100%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196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-25%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-16.67%</v>
      </c>
      <c r="AF288" s="22"/>
      <c r="AG288" s="22"/>
      <c r="AH288" s="22"/>
      <c r="AI288" s="22"/>
      <c r="AJ288" s="20" t="str">
        <f>(AJ285-AJ165)*100 &amp; "%"</f>
        <v>-42.86%</v>
      </c>
      <c r="AK288" s="22"/>
      <c r="AL288" s="22"/>
      <c r="AM288" s="22"/>
      <c r="AN288" s="22"/>
      <c r="AO288" s="20" t="str">
        <f>(AO285-AO165)*100 &amp; "%"</f>
        <v>-33.33%</v>
      </c>
      <c r="AP288" s="22"/>
      <c r="AQ288" s="22"/>
      <c r="AR288" s="22"/>
      <c r="AS288" s="22"/>
      <c r="AT288" s="20" t="str">
        <f>(AT285-AT165)*100 &amp; "%"</f>
        <v>0%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197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20%</v>
      </c>
      <c r="L289" s="22"/>
      <c r="M289" s="22"/>
      <c r="N289" s="22"/>
      <c r="O289" s="22"/>
      <c r="P289" s="20" t="str">
        <f>(P286-P106)*100 &amp; "%"</f>
        <v>25%</v>
      </c>
      <c r="Q289" s="22"/>
      <c r="R289" s="22"/>
      <c r="S289" s="22"/>
      <c r="T289" s="22"/>
      <c r="U289" s="20" t="str">
        <f>(U286-U106)*100 &amp; "%"</f>
        <v>-66.67%</v>
      </c>
      <c r="V289" s="22"/>
      <c r="W289" s="22"/>
      <c r="X289" s="22"/>
      <c r="Y289" s="22"/>
      <c r="Z289" s="20" t="str">
        <f>(Z286-Z106)*100 &amp; "%"</f>
        <v>23.08%</v>
      </c>
      <c r="AA289" s="22"/>
      <c r="AB289" s="22"/>
      <c r="AC289" s="22"/>
      <c r="AD289" s="22"/>
      <c r="AE289" s="20" t="str">
        <f>(AE286-AE106)*100 &amp; "%"</f>
        <v>30.77%</v>
      </c>
      <c r="AF289" s="22"/>
      <c r="AG289" s="22"/>
      <c r="AH289" s="22"/>
      <c r="AI289" s="22"/>
      <c r="AJ289" s="20" t="str">
        <f>(AJ286-AJ106)*100 &amp; "%"</f>
        <v>-91.67%</v>
      </c>
      <c r="AK289" s="22"/>
      <c r="AL289" s="22"/>
      <c r="AM289" s="22"/>
      <c r="AN289" s="22"/>
      <c r="AO289" s="20" t="str">
        <f>(AO286-AO106)*100 &amp; "%"</f>
        <v>-87.5%</v>
      </c>
      <c r="AP289" s="22"/>
      <c r="AQ289" s="22"/>
      <c r="AR289" s="22"/>
      <c r="AS289" s="22"/>
      <c r="AT289" s="20" t="str">
        <f>(AT286-AT106)*100 &amp; "%"</f>
        <v>-40%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66.67%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0%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0%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199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0.375</v>
      </c>
      <c r="L290" s="22"/>
      <c r="M290" s="22"/>
      <c r="N290" s="22"/>
      <c r="O290" s="22"/>
      <c r="P290" s="23">
        <f>P287-P166</f>
        <v>0.21430000000000005</v>
      </c>
      <c r="Q290" s="22"/>
      <c r="R290" s="22"/>
      <c r="S290" s="22"/>
      <c r="T290" s="22"/>
      <c r="U290" s="23">
        <f>U287-U166</f>
        <v>-0.5625</v>
      </c>
      <c r="V290" s="22"/>
      <c r="W290" s="22"/>
      <c r="X290" s="22"/>
      <c r="Y290" s="22"/>
      <c r="Z290" s="23">
        <f>Z287-Z166</f>
        <v>0.36839999999999995</v>
      </c>
      <c r="AA290" s="22"/>
      <c r="AB290" s="22"/>
      <c r="AC290" s="22"/>
      <c r="AD290" s="22"/>
      <c r="AE290" s="23">
        <f>AE287-AE166</f>
        <v>0.47370000000000001</v>
      </c>
      <c r="AF290" s="22"/>
      <c r="AG290" s="22"/>
      <c r="AH290" s="22"/>
      <c r="AI290" s="22"/>
      <c r="AJ290" s="23">
        <f>AJ287-AJ166</f>
        <v>-0.73680000000000001</v>
      </c>
      <c r="AK290" s="22"/>
      <c r="AL290" s="22"/>
      <c r="AM290" s="22"/>
      <c r="AN290" s="22"/>
      <c r="AO290" s="23">
        <f>AO287-AO166</f>
        <v>-0.72729999999999995</v>
      </c>
      <c r="AP290" s="22"/>
      <c r="AQ290" s="22"/>
      <c r="AR290" s="22"/>
      <c r="AS290" s="22"/>
      <c r="AT290" s="23">
        <f>AT287-AT166</f>
        <v>-0.22220000000000001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0.75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0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0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193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192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194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195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191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198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196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-25%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-16.67%</v>
      </c>
      <c r="AF299" s="22"/>
      <c r="AG299" s="22"/>
      <c r="AH299" s="22"/>
      <c r="AI299" s="22"/>
      <c r="AJ299" s="20" t="str">
        <f>(AJ296-AJ165)*100 &amp; "%"</f>
        <v>-42.86%</v>
      </c>
      <c r="AK299" s="22"/>
      <c r="AL299" s="22"/>
      <c r="AM299" s="22"/>
      <c r="AN299" s="22"/>
      <c r="AO299" s="20" t="str">
        <f>(AO296-AO165)*100 &amp; "%"</f>
        <v>-33.33%</v>
      </c>
      <c r="AP299" s="22"/>
      <c r="AQ299" s="22"/>
      <c r="AR299" s="22"/>
      <c r="AS299" s="22"/>
      <c r="AT299" s="20" t="str">
        <f>(AT296-AT165)*100 &amp; "%"</f>
        <v>0%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197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-66.67%</v>
      </c>
      <c r="V300" s="22"/>
      <c r="W300" s="22"/>
      <c r="X300" s="22"/>
      <c r="Y300" s="22"/>
      <c r="Z300" s="20" t="str">
        <f>(Z297-Z106)*100 &amp; "%"</f>
        <v>-76.92%</v>
      </c>
      <c r="AA300" s="22"/>
      <c r="AB300" s="22"/>
      <c r="AC300" s="22"/>
      <c r="AD300" s="22"/>
      <c r="AE300" s="20" t="str">
        <f>(AE297-AE106)*100 &amp; "%"</f>
        <v>-69.23%</v>
      </c>
      <c r="AF300" s="22"/>
      <c r="AG300" s="22"/>
      <c r="AH300" s="22"/>
      <c r="AI300" s="22"/>
      <c r="AJ300" s="20" t="str">
        <f>(AJ297-AJ106)*100 &amp; "%"</f>
        <v>-91.67%</v>
      </c>
      <c r="AK300" s="22"/>
      <c r="AL300" s="22"/>
      <c r="AM300" s="22"/>
      <c r="AN300" s="22"/>
      <c r="AO300" s="20" t="str">
        <f>(AO297-AO106)*100 &amp; "%"</f>
        <v>-87.5%</v>
      </c>
      <c r="AP300" s="22"/>
      <c r="AQ300" s="22"/>
      <c r="AR300" s="22"/>
      <c r="AS300" s="22"/>
      <c r="AT300" s="20" t="str">
        <f>(AT297-AT106)*100 &amp; "%"</f>
        <v>-40%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0%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0%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199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-0.5625</v>
      </c>
      <c r="V301" s="22"/>
      <c r="W301" s="22"/>
      <c r="X301" s="22"/>
      <c r="Y301" s="22"/>
      <c r="Z301" s="23">
        <f>Z298-Z166</f>
        <v>-0.63160000000000005</v>
      </c>
      <c r="AA301" s="22"/>
      <c r="AB301" s="22"/>
      <c r="AC301" s="22"/>
      <c r="AD301" s="22"/>
      <c r="AE301" s="23">
        <f>AE298-AE166</f>
        <v>-0.52629999999999999</v>
      </c>
      <c r="AF301" s="22"/>
      <c r="AG301" s="22"/>
      <c r="AH301" s="22"/>
      <c r="AI301" s="22"/>
      <c r="AJ301" s="23">
        <f>AJ298-AJ166</f>
        <v>-0.73680000000000001</v>
      </c>
      <c r="AK301" s="22"/>
      <c r="AL301" s="22"/>
      <c r="AM301" s="22"/>
      <c r="AN301" s="22"/>
      <c r="AO301" s="23">
        <f>AO298-AO166</f>
        <v>-0.72729999999999995</v>
      </c>
      <c r="AP301" s="22"/>
      <c r="AQ301" s="22"/>
      <c r="AR301" s="22"/>
      <c r="AS301" s="22"/>
      <c r="AT301" s="23">
        <f>AT298-AT166</f>
        <v>-0.22220000000000001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0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0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193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192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194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195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191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198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196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-25%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-16.67%</v>
      </c>
      <c r="AF310" s="22"/>
      <c r="AG310" s="22"/>
      <c r="AH310" s="22"/>
      <c r="AI310" s="22"/>
      <c r="AJ310" s="20" t="str">
        <f>(AJ307-AJ165)*100 &amp; "%"</f>
        <v>-42.86%</v>
      </c>
      <c r="AK310" s="22"/>
      <c r="AL310" s="22"/>
      <c r="AM310" s="22"/>
      <c r="AN310" s="22"/>
      <c r="AO310" s="20" t="str">
        <f>(AO307-AO165)*100 &amp; "%"</f>
        <v>-33.33%</v>
      </c>
      <c r="AP310" s="22"/>
      <c r="AQ310" s="22"/>
      <c r="AR310" s="22"/>
      <c r="AS310" s="22"/>
      <c r="AT310" s="20" t="str">
        <f>(AT307-AT165)*100 &amp; "%"</f>
        <v>0%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197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-66.67%</v>
      </c>
      <c r="V311" s="22"/>
      <c r="W311" s="22"/>
      <c r="X311" s="22"/>
      <c r="Y311" s="22"/>
      <c r="Z311" s="20" t="str">
        <f>(Z308-Z106)*100 &amp; "%"</f>
        <v>-76.92%</v>
      </c>
      <c r="AA311" s="22"/>
      <c r="AB311" s="22"/>
      <c r="AC311" s="22"/>
      <c r="AD311" s="22"/>
      <c r="AE311" s="20" t="str">
        <f>(AE308-AE106)*100 &amp; "%"</f>
        <v>-69.23%</v>
      </c>
      <c r="AF311" s="22"/>
      <c r="AG311" s="22"/>
      <c r="AH311" s="22"/>
      <c r="AI311" s="22"/>
      <c r="AJ311" s="20" t="str">
        <f>(AJ308-AJ106)*100 &amp; "%"</f>
        <v>-91.67%</v>
      </c>
      <c r="AK311" s="22"/>
      <c r="AL311" s="22"/>
      <c r="AM311" s="22"/>
      <c r="AN311" s="22"/>
      <c r="AO311" s="20" t="str">
        <f>(AO308-AO106)*100 &amp; "%"</f>
        <v>-87.5%</v>
      </c>
      <c r="AP311" s="22"/>
      <c r="AQ311" s="22"/>
      <c r="AR311" s="22"/>
      <c r="AS311" s="22"/>
      <c r="AT311" s="20" t="str">
        <f>(AT308-AT106)*100 &amp; "%"</f>
        <v>-40%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0%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0%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199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-0.5625</v>
      </c>
      <c r="V312" s="22"/>
      <c r="W312" s="22"/>
      <c r="X312" s="22"/>
      <c r="Y312" s="22"/>
      <c r="Z312" s="23">
        <f>Z309-Z166</f>
        <v>-0.63160000000000005</v>
      </c>
      <c r="AA312" s="22"/>
      <c r="AB312" s="22"/>
      <c r="AC312" s="22"/>
      <c r="AD312" s="22"/>
      <c r="AE312" s="23">
        <f>AE309-AE166</f>
        <v>-0.52629999999999999</v>
      </c>
      <c r="AF312" s="22"/>
      <c r="AG312" s="22"/>
      <c r="AH312" s="22"/>
      <c r="AI312" s="22"/>
      <c r="AJ312" s="23">
        <f>AJ309-AJ166</f>
        <v>-0.73680000000000001</v>
      </c>
      <c r="AK312" s="22"/>
      <c r="AL312" s="22"/>
      <c r="AM312" s="22"/>
      <c r="AN312" s="22"/>
      <c r="AO312" s="23">
        <f>AO309-AO166</f>
        <v>-0.72729999999999995</v>
      </c>
      <c r="AP312" s="22"/>
      <c r="AQ312" s="22"/>
      <c r="AR312" s="22"/>
      <c r="AS312" s="22"/>
      <c r="AT312" s="23">
        <f>AT309-AT166</f>
        <v>-0.22220000000000001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0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0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193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192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194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195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191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198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196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-25%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-16.67%</v>
      </c>
      <c r="AF321" s="22"/>
      <c r="AG321" s="22"/>
      <c r="AH321" s="22"/>
      <c r="AI321" s="22"/>
      <c r="AJ321" s="20" t="str">
        <f>(AJ318-AJ165)*100 &amp; "%"</f>
        <v>-42.86%</v>
      </c>
      <c r="AK321" s="22"/>
      <c r="AL321" s="22"/>
      <c r="AM321" s="22"/>
      <c r="AN321" s="22"/>
      <c r="AO321" s="20" t="str">
        <f>(AO318-AO165)*100 &amp; "%"</f>
        <v>-33.33%</v>
      </c>
      <c r="AP321" s="22"/>
      <c r="AQ321" s="22"/>
      <c r="AR321" s="22"/>
      <c r="AS321" s="22"/>
      <c r="AT321" s="20" t="str">
        <f>(AT318-AT165)*100 &amp; "%"</f>
        <v>0%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197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-66.67%</v>
      </c>
      <c r="V322" s="22"/>
      <c r="W322" s="22"/>
      <c r="X322" s="22"/>
      <c r="Y322" s="22"/>
      <c r="Z322" s="20" t="str">
        <f>(Z319-Z106)*100 &amp; "%"</f>
        <v>-76.92%</v>
      </c>
      <c r="AA322" s="22"/>
      <c r="AB322" s="22"/>
      <c r="AC322" s="22"/>
      <c r="AD322" s="22"/>
      <c r="AE322" s="20" t="str">
        <f>(AE319-AE106)*100 &amp; "%"</f>
        <v>-69.23%</v>
      </c>
      <c r="AF322" s="22"/>
      <c r="AG322" s="22"/>
      <c r="AH322" s="22"/>
      <c r="AI322" s="22"/>
      <c r="AJ322" s="20" t="str">
        <f>(AJ319-AJ106)*100 &amp; "%"</f>
        <v>-91.67%</v>
      </c>
      <c r="AK322" s="22"/>
      <c r="AL322" s="22"/>
      <c r="AM322" s="22"/>
      <c r="AN322" s="22"/>
      <c r="AO322" s="20" t="str">
        <f>(AO319-AO106)*100 &amp; "%"</f>
        <v>-87.5%</v>
      </c>
      <c r="AP322" s="22"/>
      <c r="AQ322" s="22"/>
      <c r="AR322" s="22"/>
      <c r="AS322" s="22"/>
      <c r="AT322" s="20" t="str">
        <f>(AT319-AT106)*100 &amp; "%"</f>
        <v>-40%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0%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0%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199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-0.5625</v>
      </c>
      <c r="V323" s="22"/>
      <c r="W323" s="22"/>
      <c r="X323" s="22"/>
      <c r="Y323" s="22"/>
      <c r="Z323" s="23">
        <f>Z320-Z166</f>
        <v>-0.63160000000000005</v>
      </c>
      <c r="AA323" s="22"/>
      <c r="AB323" s="22"/>
      <c r="AC323" s="22"/>
      <c r="AD323" s="22"/>
      <c r="AE323" s="23">
        <f>AE320-AE166</f>
        <v>-0.52629999999999999</v>
      </c>
      <c r="AF323" s="22"/>
      <c r="AG323" s="22"/>
      <c r="AH323" s="22"/>
      <c r="AI323" s="22"/>
      <c r="AJ323" s="23">
        <f>AJ320-AJ166</f>
        <v>-0.73680000000000001</v>
      </c>
      <c r="AK323" s="22"/>
      <c r="AL323" s="22"/>
      <c r="AM323" s="22"/>
      <c r="AN323" s="22"/>
      <c r="AO323" s="23">
        <f>AO320-AO166</f>
        <v>-0.72729999999999995</v>
      </c>
      <c r="AP323" s="22"/>
      <c r="AQ323" s="22"/>
      <c r="AR323" s="22"/>
      <c r="AS323" s="22"/>
      <c r="AT323" s="23">
        <f>AT320-AT166</f>
        <v>-0.22220000000000001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0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0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193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192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194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195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191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198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196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-25%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-16.67%</v>
      </c>
      <c r="AF332" s="22"/>
      <c r="AG332" s="22"/>
      <c r="AH332" s="22"/>
      <c r="AI332" s="22"/>
      <c r="AJ332" s="20" t="str">
        <f>(AJ329-AJ165)*100 &amp; "%"</f>
        <v>-42.86%</v>
      </c>
      <c r="AK332" s="22"/>
      <c r="AL332" s="22"/>
      <c r="AM332" s="22"/>
      <c r="AN332" s="22"/>
      <c r="AO332" s="20" t="str">
        <f>(AO329-AO165)*100 &amp; "%"</f>
        <v>-33.33%</v>
      </c>
      <c r="AP332" s="22"/>
      <c r="AQ332" s="22"/>
      <c r="AR332" s="22"/>
      <c r="AS332" s="22"/>
      <c r="AT332" s="20" t="str">
        <f>(AT329-AT165)*100 &amp; "%"</f>
        <v>0%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197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-66.67%</v>
      </c>
      <c r="V333" s="22"/>
      <c r="W333" s="22"/>
      <c r="X333" s="22"/>
      <c r="Y333" s="22"/>
      <c r="Z333" s="20" t="str">
        <f>(Z330-Z106)*100 &amp; "%"</f>
        <v>-76.92%</v>
      </c>
      <c r="AA333" s="22"/>
      <c r="AB333" s="22"/>
      <c r="AC333" s="22"/>
      <c r="AD333" s="22"/>
      <c r="AE333" s="20" t="str">
        <f>(AE330-AE106)*100 &amp; "%"</f>
        <v>-69.23%</v>
      </c>
      <c r="AF333" s="22"/>
      <c r="AG333" s="22"/>
      <c r="AH333" s="22"/>
      <c r="AI333" s="22"/>
      <c r="AJ333" s="20" t="str">
        <f>(AJ330-AJ106)*100 &amp; "%"</f>
        <v>-91.67%</v>
      </c>
      <c r="AK333" s="22"/>
      <c r="AL333" s="22"/>
      <c r="AM333" s="22"/>
      <c r="AN333" s="22"/>
      <c r="AO333" s="20" t="str">
        <f>(AO330-AO106)*100 &amp; "%"</f>
        <v>-87.5%</v>
      </c>
      <c r="AP333" s="22"/>
      <c r="AQ333" s="22"/>
      <c r="AR333" s="22"/>
      <c r="AS333" s="22"/>
      <c r="AT333" s="20" t="str">
        <f>(AT330-AT106)*100 &amp; "%"</f>
        <v>-40%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0%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0%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199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-0.5625</v>
      </c>
      <c r="V334" s="22"/>
      <c r="W334" s="22"/>
      <c r="X334" s="22"/>
      <c r="Y334" s="22"/>
      <c r="Z334" s="23">
        <f>Z331-Z166</f>
        <v>-0.63160000000000005</v>
      </c>
      <c r="AA334" s="22"/>
      <c r="AB334" s="22"/>
      <c r="AC334" s="22"/>
      <c r="AD334" s="22"/>
      <c r="AE334" s="23">
        <f>AE331-AE166</f>
        <v>-0.52629999999999999</v>
      </c>
      <c r="AF334" s="22"/>
      <c r="AG334" s="22"/>
      <c r="AH334" s="22"/>
      <c r="AI334" s="22"/>
      <c r="AJ334" s="23">
        <f>AJ331-AJ166</f>
        <v>-0.73680000000000001</v>
      </c>
      <c r="AK334" s="22"/>
      <c r="AL334" s="22"/>
      <c r="AM334" s="22"/>
      <c r="AN334" s="22"/>
      <c r="AO334" s="23">
        <f>AO331-AO166</f>
        <v>-0.72729999999999995</v>
      </c>
      <c r="AP334" s="22"/>
      <c r="AQ334" s="22"/>
      <c r="AR334" s="22"/>
      <c r="AS334" s="22"/>
      <c r="AT334" s="23">
        <f>AT331-AT166</f>
        <v>-0.22220000000000001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0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0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193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192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194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195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191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198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196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-25%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-16.67%</v>
      </c>
      <c r="AF343" s="22"/>
      <c r="AG343" s="22"/>
      <c r="AH343" s="22"/>
      <c r="AI343" s="22"/>
      <c r="AJ343" s="20" t="str">
        <f>(AJ340-AJ165)*100 &amp; "%"</f>
        <v>-42.86%</v>
      </c>
      <c r="AK343" s="22"/>
      <c r="AL343" s="22"/>
      <c r="AM343" s="22"/>
      <c r="AN343" s="22"/>
      <c r="AO343" s="20" t="str">
        <f>(AO340-AO165)*100 &amp; "%"</f>
        <v>-33.33%</v>
      </c>
      <c r="AP343" s="22"/>
      <c r="AQ343" s="22"/>
      <c r="AR343" s="22"/>
      <c r="AS343" s="22"/>
      <c r="AT343" s="20" t="str">
        <f>(AT340-AT165)*100 &amp; "%"</f>
        <v>0%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197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-66.67%</v>
      </c>
      <c r="V344" s="22"/>
      <c r="W344" s="22"/>
      <c r="X344" s="22"/>
      <c r="Y344" s="22"/>
      <c r="Z344" s="20" t="str">
        <f>(Z341-Z106)*100 &amp; "%"</f>
        <v>-76.92%</v>
      </c>
      <c r="AA344" s="22"/>
      <c r="AB344" s="22"/>
      <c r="AC344" s="22"/>
      <c r="AD344" s="22"/>
      <c r="AE344" s="20" t="str">
        <f>(AE341-AE106)*100 &amp; "%"</f>
        <v>-69.23%</v>
      </c>
      <c r="AF344" s="22"/>
      <c r="AG344" s="22"/>
      <c r="AH344" s="22"/>
      <c r="AI344" s="22"/>
      <c r="AJ344" s="20" t="str">
        <f>(AJ341-AJ106)*100 &amp; "%"</f>
        <v>-91.67%</v>
      </c>
      <c r="AK344" s="22"/>
      <c r="AL344" s="22"/>
      <c r="AM344" s="22"/>
      <c r="AN344" s="22"/>
      <c r="AO344" s="20" t="str">
        <f>(AO341-AO106)*100 &amp; "%"</f>
        <v>-87.5%</v>
      </c>
      <c r="AP344" s="22"/>
      <c r="AQ344" s="22"/>
      <c r="AR344" s="22"/>
      <c r="AS344" s="22"/>
      <c r="AT344" s="20" t="str">
        <f>(AT341-AT106)*100 &amp; "%"</f>
        <v>-40%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0%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0%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199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-0.5625</v>
      </c>
      <c r="V345" s="22"/>
      <c r="W345" s="22"/>
      <c r="X345" s="22"/>
      <c r="Y345" s="22"/>
      <c r="Z345" s="23">
        <f>Z342-Z166</f>
        <v>-0.63160000000000005</v>
      </c>
      <c r="AA345" s="22"/>
      <c r="AB345" s="22"/>
      <c r="AC345" s="22"/>
      <c r="AD345" s="22"/>
      <c r="AE345" s="23">
        <f>AE342-AE166</f>
        <v>-0.52629999999999999</v>
      </c>
      <c r="AF345" s="22"/>
      <c r="AG345" s="22"/>
      <c r="AH345" s="22"/>
      <c r="AI345" s="22"/>
      <c r="AJ345" s="23">
        <f>AJ342-AJ166</f>
        <v>-0.73680000000000001</v>
      </c>
      <c r="AK345" s="22"/>
      <c r="AL345" s="22"/>
      <c r="AM345" s="22"/>
      <c r="AN345" s="22"/>
      <c r="AO345" s="23">
        <f>AO342-AO166</f>
        <v>-0.72729999999999995</v>
      </c>
      <c r="AP345" s="22"/>
      <c r="AQ345" s="22"/>
      <c r="AR345" s="22"/>
      <c r="AS345" s="22"/>
      <c r="AT345" s="23">
        <f>AT342-AT166</f>
        <v>-0.22220000000000001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0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0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193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192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194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195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191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198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196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-25%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-16.67%</v>
      </c>
      <c r="AF354" s="22"/>
      <c r="AG354" s="22"/>
      <c r="AH354" s="22"/>
      <c r="AI354" s="22"/>
      <c r="AJ354" s="20" t="str">
        <f>(AJ351-AJ165)*100 &amp; "%"</f>
        <v>-42.86%</v>
      </c>
      <c r="AK354" s="22"/>
      <c r="AL354" s="22"/>
      <c r="AM354" s="22"/>
      <c r="AN354" s="22"/>
      <c r="AO354" s="20" t="str">
        <f>(AO351-AO165)*100 &amp; "%"</f>
        <v>-33.33%</v>
      </c>
      <c r="AP354" s="22"/>
      <c r="AQ354" s="22"/>
      <c r="AR354" s="22"/>
      <c r="AS354" s="22"/>
      <c r="AT354" s="20" t="str">
        <f>(AT351-AT165)*100 &amp; "%"</f>
        <v>0%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197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-66.67%</v>
      </c>
      <c r="V355" s="22"/>
      <c r="W355" s="22"/>
      <c r="X355" s="22"/>
      <c r="Y355" s="22"/>
      <c r="Z355" s="20" t="str">
        <f>(Z352-Z106)*100 &amp; "%"</f>
        <v>-76.92%</v>
      </c>
      <c r="AA355" s="22"/>
      <c r="AB355" s="22"/>
      <c r="AC355" s="22"/>
      <c r="AD355" s="22"/>
      <c r="AE355" s="20" t="str">
        <f>(AE352-AE106)*100 &amp; "%"</f>
        <v>-69.23%</v>
      </c>
      <c r="AF355" s="22"/>
      <c r="AG355" s="22"/>
      <c r="AH355" s="22"/>
      <c r="AI355" s="22"/>
      <c r="AJ355" s="20" t="str">
        <f>(AJ352-AJ106)*100 &amp; "%"</f>
        <v>-91.67%</v>
      </c>
      <c r="AK355" s="22"/>
      <c r="AL355" s="22"/>
      <c r="AM355" s="22"/>
      <c r="AN355" s="22"/>
      <c r="AO355" s="20" t="str">
        <f>(AO352-AO106)*100 &amp; "%"</f>
        <v>-87.5%</v>
      </c>
      <c r="AP355" s="22"/>
      <c r="AQ355" s="22"/>
      <c r="AR355" s="22"/>
      <c r="AS355" s="22"/>
      <c r="AT355" s="20" t="str">
        <f>(AT352-AT106)*100 &amp; "%"</f>
        <v>-40%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0%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0%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199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-0.5625</v>
      </c>
      <c r="V356" s="22"/>
      <c r="W356" s="22"/>
      <c r="X356" s="22"/>
      <c r="Y356" s="22"/>
      <c r="Z356" s="23">
        <f>Z353-Z166</f>
        <v>-0.63160000000000005</v>
      </c>
      <c r="AA356" s="22"/>
      <c r="AB356" s="22"/>
      <c r="AC356" s="22"/>
      <c r="AD356" s="22"/>
      <c r="AE356" s="23">
        <f>AE353-AE166</f>
        <v>-0.52629999999999999</v>
      </c>
      <c r="AF356" s="22"/>
      <c r="AG356" s="22"/>
      <c r="AH356" s="22"/>
      <c r="AI356" s="22"/>
      <c r="AJ356" s="23">
        <f>AJ353-AJ166</f>
        <v>-0.73680000000000001</v>
      </c>
      <c r="AK356" s="22"/>
      <c r="AL356" s="22"/>
      <c r="AM356" s="22"/>
      <c r="AN356" s="22"/>
      <c r="AO356" s="23">
        <f>AO353-AO166</f>
        <v>-0.72729999999999995</v>
      </c>
      <c r="AP356" s="22"/>
      <c r="AQ356" s="22"/>
      <c r="AR356" s="22"/>
      <c r="AS356" s="22"/>
      <c r="AT356" s="23">
        <f>AT353-AT166</f>
        <v>-0.22220000000000001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0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0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Josh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193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192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194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195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191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198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196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-25%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-16.67%</v>
      </c>
      <c r="AF365" s="22"/>
      <c r="AG365" s="22"/>
      <c r="AH365" s="22"/>
      <c r="AI365" s="22"/>
      <c r="AJ365" s="20" t="str">
        <f>(AJ362-AJ165)*100 &amp; "%"</f>
        <v>-42.86%</v>
      </c>
      <c r="AK365" s="22"/>
      <c r="AL365" s="22"/>
      <c r="AM365" s="22"/>
      <c r="AN365" s="22"/>
      <c r="AO365" s="20" t="str">
        <f>(AO362-AO165)*100 &amp; "%"</f>
        <v>-33.33%</v>
      </c>
      <c r="AP365" s="22"/>
      <c r="AQ365" s="22"/>
      <c r="AR365" s="22"/>
      <c r="AS365" s="22"/>
      <c r="AT365" s="20" t="str">
        <f>(AT362-AT165)*100 &amp; "%"</f>
        <v>0%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197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-66.67%</v>
      </c>
      <c r="V366" s="22"/>
      <c r="W366" s="22"/>
      <c r="X366" s="22"/>
      <c r="Y366" s="22"/>
      <c r="Z366" s="20" t="str">
        <f>(Z363-Z106)*100 &amp; "%"</f>
        <v>-76.92%</v>
      </c>
      <c r="AA366" s="22"/>
      <c r="AB366" s="22"/>
      <c r="AC366" s="22"/>
      <c r="AD366" s="22"/>
      <c r="AE366" s="20" t="str">
        <f>(AE363-AE106)*100 &amp; "%"</f>
        <v>-69.23%</v>
      </c>
      <c r="AF366" s="22"/>
      <c r="AG366" s="22"/>
      <c r="AH366" s="22"/>
      <c r="AI366" s="22"/>
      <c r="AJ366" s="20" t="str">
        <f>(AJ363-AJ106)*100 &amp; "%"</f>
        <v>-91.67%</v>
      </c>
      <c r="AK366" s="22"/>
      <c r="AL366" s="22"/>
      <c r="AM366" s="22"/>
      <c r="AN366" s="22"/>
      <c r="AO366" s="20" t="str">
        <f>(AO363-AO106)*100 &amp; "%"</f>
        <v>-87.5%</v>
      </c>
      <c r="AP366" s="22"/>
      <c r="AQ366" s="22"/>
      <c r="AR366" s="22"/>
      <c r="AS366" s="22"/>
      <c r="AT366" s="20" t="str">
        <f>(AT363-AT106)*100 &amp; "%"</f>
        <v>-40%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0%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0%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199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-0.5625</v>
      </c>
      <c r="V367" s="22"/>
      <c r="W367" s="22"/>
      <c r="X367" s="22"/>
      <c r="Y367" s="22"/>
      <c r="Z367" s="23">
        <f>Z364-Z166</f>
        <v>-0.63160000000000005</v>
      </c>
      <c r="AA367" s="22"/>
      <c r="AB367" s="22"/>
      <c r="AC367" s="22"/>
      <c r="AD367" s="22"/>
      <c r="AE367" s="23">
        <f>AE364-AE166</f>
        <v>-0.52629999999999999</v>
      </c>
      <c r="AF367" s="22"/>
      <c r="AG367" s="22"/>
      <c r="AH367" s="22"/>
      <c r="AI367" s="22"/>
      <c r="AJ367" s="23">
        <f>AJ364-AJ166</f>
        <v>-0.73680000000000001</v>
      </c>
      <c r="AK367" s="22"/>
      <c r="AL367" s="22"/>
      <c r="AM367" s="22"/>
      <c r="AN367" s="22"/>
      <c r="AO367" s="23">
        <f>AO364-AO166</f>
        <v>-0.72729999999999995</v>
      </c>
      <c r="AP367" s="22"/>
      <c r="AQ367" s="22"/>
      <c r="AR367" s="22"/>
      <c r="AS367" s="22"/>
      <c r="AT367" s="23">
        <f>AT364-AT166</f>
        <v>-0.22220000000000001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0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0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Lewis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193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192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194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195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191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198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196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-25%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-16.67%</v>
      </c>
      <c r="AF376" s="22"/>
      <c r="AG376" s="22"/>
      <c r="AH376" s="22"/>
      <c r="AI376" s="22"/>
      <c r="AJ376" s="20" t="str">
        <f>(AJ373-AJ165)*100 &amp; "%"</f>
        <v>-42.86%</v>
      </c>
      <c r="AK376" s="22"/>
      <c r="AL376" s="22"/>
      <c r="AM376" s="22"/>
      <c r="AN376" s="22"/>
      <c r="AO376" s="20" t="str">
        <f>(AO373-AO165)*100 &amp; "%"</f>
        <v>-33.33%</v>
      </c>
      <c r="AP376" s="22"/>
      <c r="AQ376" s="22"/>
      <c r="AR376" s="22"/>
      <c r="AS376" s="22"/>
      <c r="AT376" s="20" t="str">
        <f>(AT373-AT165)*100 &amp; "%"</f>
        <v>0%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197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-66.67%</v>
      </c>
      <c r="V377" s="22"/>
      <c r="W377" s="22"/>
      <c r="X377" s="22"/>
      <c r="Y377" s="22"/>
      <c r="Z377" s="20" t="str">
        <f>(Z374-Z106)*100 &amp; "%"</f>
        <v>-76.92%</v>
      </c>
      <c r="AA377" s="22"/>
      <c r="AB377" s="22"/>
      <c r="AC377" s="22"/>
      <c r="AD377" s="22"/>
      <c r="AE377" s="20" t="str">
        <f>(AE374-AE106)*100 &amp; "%"</f>
        <v>-69.23%</v>
      </c>
      <c r="AF377" s="22"/>
      <c r="AG377" s="22"/>
      <c r="AH377" s="22"/>
      <c r="AI377" s="22"/>
      <c r="AJ377" s="20" t="str">
        <f>(AJ374-AJ106)*100 &amp; "%"</f>
        <v>-91.67%</v>
      </c>
      <c r="AK377" s="22"/>
      <c r="AL377" s="22"/>
      <c r="AM377" s="22"/>
      <c r="AN377" s="22"/>
      <c r="AO377" s="20" t="str">
        <f>(AO374-AO106)*100 &amp; "%"</f>
        <v>-87.5%</v>
      </c>
      <c r="AP377" s="22"/>
      <c r="AQ377" s="22"/>
      <c r="AR377" s="22"/>
      <c r="AS377" s="22"/>
      <c r="AT377" s="20" t="str">
        <f>(AT374-AT106)*100 &amp; "%"</f>
        <v>-40%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0%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0%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199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-0.5625</v>
      </c>
      <c r="V378" s="22"/>
      <c r="W378" s="22"/>
      <c r="X378" s="22"/>
      <c r="Y378" s="22"/>
      <c r="Z378" s="23">
        <f>Z375-Z166</f>
        <v>-0.63160000000000005</v>
      </c>
      <c r="AA378" s="22"/>
      <c r="AB378" s="22"/>
      <c r="AC378" s="22"/>
      <c r="AD378" s="22"/>
      <c r="AE378" s="23">
        <f>AE375-AE166</f>
        <v>-0.52629999999999999</v>
      </c>
      <c r="AF378" s="22"/>
      <c r="AG378" s="22"/>
      <c r="AH378" s="22"/>
      <c r="AI378" s="22"/>
      <c r="AJ378" s="23">
        <f>AJ375-AJ166</f>
        <v>-0.73680000000000001</v>
      </c>
      <c r="AK378" s="22"/>
      <c r="AL378" s="22"/>
      <c r="AM378" s="22"/>
      <c r="AN378" s="22"/>
      <c r="AO378" s="23">
        <f>AO375-AO166</f>
        <v>-0.72729999999999995</v>
      </c>
      <c r="AP378" s="22"/>
      <c r="AQ378" s="22"/>
      <c r="AR378" s="22"/>
      <c r="AS378" s="22"/>
      <c r="AT378" s="23">
        <f>AT375-AT166</f>
        <v>-0.22220000000000001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0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0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193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192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194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195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191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198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196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-25%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-16.67%</v>
      </c>
      <c r="AF387" s="22"/>
      <c r="AG387" s="22"/>
      <c r="AH387" s="22"/>
      <c r="AI387" s="22"/>
      <c r="AJ387" s="20" t="str">
        <f>(AJ384-AJ165)*100 &amp; "%"</f>
        <v>-42.86%</v>
      </c>
      <c r="AK387" s="22"/>
      <c r="AL387" s="22"/>
      <c r="AM387" s="22"/>
      <c r="AN387" s="22"/>
      <c r="AO387" s="20" t="str">
        <f>(AO384-AO165)*100 &amp; "%"</f>
        <v>-33.33%</v>
      </c>
      <c r="AP387" s="22"/>
      <c r="AQ387" s="22"/>
      <c r="AR387" s="22"/>
      <c r="AS387" s="22"/>
      <c r="AT387" s="20" t="str">
        <f>(AT384-AT165)*100 &amp; "%"</f>
        <v>0%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197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-66.67%</v>
      </c>
      <c r="V388" s="22"/>
      <c r="W388" s="22"/>
      <c r="X388" s="22"/>
      <c r="Y388" s="22"/>
      <c r="Z388" s="20" t="str">
        <f>(Z385-Z106)*100 &amp; "%"</f>
        <v>-76.92%</v>
      </c>
      <c r="AA388" s="22"/>
      <c r="AB388" s="22"/>
      <c r="AC388" s="22"/>
      <c r="AD388" s="22"/>
      <c r="AE388" s="20" t="str">
        <f>(AE385-AE106)*100 &amp; "%"</f>
        <v>-69.23%</v>
      </c>
      <c r="AF388" s="22"/>
      <c r="AG388" s="22"/>
      <c r="AH388" s="22"/>
      <c r="AI388" s="22"/>
      <c r="AJ388" s="20" t="str">
        <f>(AJ385-AJ106)*100 &amp; "%"</f>
        <v>-91.67%</v>
      </c>
      <c r="AK388" s="22"/>
      <c r="AL388" s="22"/>
      <c r="AM388" s="22"/>
      <c r="AN388" s="22"/>
      <c r="AO388" s="20" t="str">
        <f>(AO385-AO106)*100 &amp; "%"</f>
        <v>-87.5%</v>
      </c>
      <c r="AP388" s="22"/>
      <c r="AQ388" s="22"/>
      <c r="AR388" s="22"/>
      <c r="AS388" s="22"/>
      <c r="AT388" s="20" t="str">
        <f>(AT385-AT106)*100 &amp; "%"</f>
        <v>-40%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0%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0%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199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-0.5625</v>
      </c>
      <c r="V389" s="22"/>
      <c r="W389" s="22"/>
      <c r="X389" s="22"/>
      <c r="Y389" s="22"/>
      <c r="Z389" s="23">
        <f>Z386-Z166</f>
        <v>-0.63160000000000005</v>
      </c>
      <c r="AA389" s="22"/>
      <c r="AB389" s="22"/>
      <c r="AC389" s="22"/>
      <c r="AD389" s="22"/>
      <c r="AE389" s="23">
        <f>AE386-AE166</f>
        <v>-0.52629999999999999</v>
      </c>
      <c r="AF389" s="22"/>
      <c r="AG389" s="22"/>
      <c r="AH389" s="22"/>
      <c r="AI389" s="22"/>
      <c r="AJ389" s="23">
        <f>AJ386-AJ166</f>
        <v>-0.73680000000000001</v>
      </c>
      <c r="AK389" s="22"/>
      <c r="AL389" s="22"/>
      <c r="AM389" s="22"/>
      <c r="AN389" s="22"/>
      <c r="AO389" s="23">
        <f>AO386-AO166</f>
        <v>-0.72729999999999995</v>
      </c>
      <c r="AP389" s="22"/>
      <c r="AQ389" s="22"/>
      <c r="AR389" s="22"/>
      <c r="AS389" s="22"/>
      <c r="AT389" s="23">
        <f>AT386-AT166</f>
        <v>-0.22220000000000001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0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0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193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192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194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195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191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198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196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-25%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-16.67%</v>
      </c>
      <c r="AF398" s="22"/>
      <c r="AG398" s="22"/>
      <c r="AH398" s="22"/>
      <c r="AI398" s="22"/>
      <c r="AJ398" s="20" t="str">
        <f>(AJ395-AJ165)*100 &amp; "%"</f>
        <v>-42.86%</v>
      </c>
      <c r="AK398" s="22"/>
      <c r="AL398" s="22"/>
      <c r="AM398" s="22"/>
      <c r="AN398" s="22"/>
      <c r="AO398" s="20" t="str">
        <f>(AO395-AO165)*100 &amp; "%"</f>
        <v>-33.33%</v>
      </c>
      <c r="AP398" s="22"/>
      <c r="AQ398" s="22"/>
      <c r="AR398" s="22"/>
      <c r="AS398" s="22"/>
      <c r="AT398" s="20" t="str">
        <f>(AT395-AT165)*100 &amp; "%"</f>
        <v>0%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197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-66.67%</v>
      </c>
      <c r="V399" s="22"/>
      <c r="W399" s="22"/>
      <c r="X399" s="22"/>
      <c r="Y399" s="22"/>
      <c r="Z399" s="20" t="str">
        <f>(Z396-Z106)*100 &amp; "%"</f>
        <v>-76.92%</v>
      </c>
      <c r="AA399" s="22"/>
      <c r="AB399" s="22"/>
      <c r="AC399" s="22"/>
      <c r="AD399" s="22"/>
      <c r="AE399" s="20" t="str">
        <f>(AE396-AE106)*100 &amp; "%"</f>
        <v>-69.23%</v>
      </c>
      <c r="AF399" s="22"/>
      <c r="AG399" s="22"/>
      <c r="AH399" s="22"/>
      <c r="AI399" s="22"/>
      <c r="AJ399" s="20" t="str">
        <f>(AJ396-AJ106)*100 &amp; "%"</f>
        <v>-91.67%</v>
      </c>
      <c r="AK399" s="22"/>
      <c r="AL399" s="22"/>
      <c r="AM399" s="22"/>
      <c r="AN399" s="22"/>
      <c r="AO399" s="20" t="str">
        <f>(AO396-AO106)*100 &amp; "%"</f>
        <v>-87.5%</v>
      </c>
      <c r="AP399" s="22"/>
      <c r="AQ399" s="22"/>
      <c r="AR399" s="22"/>
      <c r="AS399" s="22"/>
      <c r="AT399" s="20" t="str">
        <f>(AT396-AT106)*100 &amp; "%"</f>
        <v>-40%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0%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0%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199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-0.5625</v>
      </c>
      <c r="V400" s="22"/>
      <c r="W400" s="22"/>
      <c r="X400" s="22"/>
      <c r="Y400" s="22"/>
      <c r="Z400" s="23">
        <f>Z397-Z166</f>
        <v>-0.63160000000000005</v>
      </c>
      <c r="AA400" s="22"/>
      <c r="AB400" s="22"/>
      <c r="AC400" s="22"/>
      <c r="AD400" s="22"/>
      <c r="AE400" s="23">
        <f>AE397-AE166</f>
        <v>-0.52629999999999999</v>
      </c>
      <c r="AF400" s="22"/>
      <c r="AG400" s="22"/>
      <c r="AH400" s="22"/>
      <c r="AI400" s="22"/>
      <c r="AJ400" s="23">
        <f>AJ397-AJ166</f>
        <v>-0.73680000000000001</v>
      </c>
      <c r="AK400" s="22"/>
      <c r="AL400" s="22"/>
      <c r="AM400" s="22"/>
      <c r="AN400" s="22"/>
      <c r="AO400" s="23">
        <f>AO397-AO166</f>
        <v>-0.72729999999999995</v>
      </c>
      <c r="AP400" s="22"/>
      <c r="AQ400" s="22"/>
      <c r="AR400" s="22"/>
      <c r="AS400" s="22"/>
      <c r="AT400" s="23">
        <f>AT397-AT166</f>
        <v>-0.22220000000000001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0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0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193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192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194</v>
      </c>
      <c r="B405" s="22"/>
      <c r="C405" s="22"/>
      <c r="D405" s="22"/>
      <c r="E405" s="22"/>
      <c r="F405" s="22"/>
      <c r="G405" s="22"/>
      <c r="H405" s="20">
        <f t="shared" si="1926"/>
        <v>1</v>
      </c>
      <c r="I405" s="20">
        <v>0</v>
      </c>
      <c r="J405" s="20">
        <v>1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195</v>
      </c>
      <c r="B406" s="22"/>
      <c r="C406" s="22"/>
      <c r="D406" s="22"/>
      <c r="E406" s="22"/>
      <c r="F406" s="22"/>
      <c r="G406" s="22"/>
      <c r="H406" s="20">
        <f t="shared" si="1926"/>
        <v>1</v>
      </c>
      <c r="I406" s="20">
        <v>0</v>
      </c>
      <c r="J406" s="20">
        <v>1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191</v>
      </c>
      <c r="B407" s="22"/>
      <c r="C407" s="22"/>
      <c r="D407" s="22"/>
      <c r="E407" s="22"/>
      <c r="F407" s="22"/>
      <c r="G407" s="22"/>
      <c r="H407" s="20">
        <f t="shared" si="1926"/>
        <v>2</v>
      </c>
      <c r="I407" s="20">
        <v>1</v>
      </c>
      <c r="J407" s="20">
        <v>1</v>
      </c>
      <c r="K407" s="20" t="str">
        <f t="shared" si="1927"/>
        <v>50%</v>
      </c>
      <c r="L407" s="22"/>
      <c r="M407" s="20">
        <f t="shared" si="1928"/>
        <v>1</v>
      </c>
      <c r="N407" s="20">
        <v>1</v>
      </c>
      <c r="O407" s="20">
        <v>0</v>
      </c>
      <c r="P407" s="20" t="str">
        <f t="shared" si="1929"/>
        <v>100%</v>
      </c>
      <c r="Q407" s="22"/>
      <c r="R407" s="20">
        <f t="shared" si="1930"/>
        <v>2</v>
      </c>
      <c r="S407" s="20">
        <v>0</v>
      </c>
      <c r="T407" s="20">
        <v>2</v>
      </c>
      <c r="U407" s="20" t="str">
        <f t="shared" si="1931"/>
        <v>0%</v>
      </c>
      <c r="V407" s="22"/>
      <c r="W407" s="20">
        <f t="shared" si="1932"/>
        <v>3</v>
      </c>
      <c r="X407" s="20">
        <v>1</v>
      </c>
      <c r="Y407" s="20">
        <v>2</v>
      </c>
      <c r="Z407" s="20" t="str">
        <f t="shared" si="1933"/>
        <v>33.33%</v>
      </c>
      <c r="AA407" s="22"/>
      <c r="AB407" s="20">
        <f t="shared" si="1934"/>
        <v>3</v>
      </c>
      <c r="AC407" s="20">
        <v>1</v>
      </c>
      <c r="AD407" s="20">
        <v>2</v>
      </c>
      <c r="AE407" s="20" t="str">
        <f t="shared" si="1935"/>
        <v>33.33%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1</v>
      </c>
      <c r="BG407" s="20">
        <v>1</v>
      </c>
      <c r="BH407" s="20">
        <v>0</v>
      </c>
      <c r="BI407" s="20" t="str">
        <f t="shared" si="1947"/>
        <v>100%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198</v>
      </c>
      <c r="B408" s="22"/>
      <c r="C408" s="22"/>
      <c r="D408" s="22"/>
      <c r="E408" s="22"/>
      <c r="F408" s="22"/>
      <c r="G408" s="22"/>
      <c r="H408" s="20">
        <f>SUM(H407,H406,H405,H404,H403)</f>
        <v>4</v>
      </c>
      <c r="I408" s="20">
        <f>SUM(I407,I406,I405,I404,I403)</f>
        <v>1</v>
      </c>
      <c r="J408" s="20">
        <f>SUM(J407,J406,J405,J404,J403)</f>
        <v>3</v>
      </c>
      <c r="K408" s="20" t="str">
        <f t="shared" si="1927"/>
        <v>25%</v>
      </c>
      <c r="L408" s="22"/>
      <c r="M408" s="20">
        <f>SUM(M407,M406,M405,M404,M403)</f>
        <v>1</v>
      </c>
      <c r="N408" s="20">
        <f>SUM(N407,N406,N405,N404,N403)</f>
        <v>1</v>
      </c>
      <c r="O408" s="20">
        <f>SUM(O407,O406,O405,O404,O403)</f>
        <v>0</v>
      </c>
      <c r="P408" s="20" t="str">
        <f t="shared" si="1929"/>
        <v>100%</v>
      </c>
      <c r="Q408" s="22"/>
      <c r="R408" s="20">
        <f>SUM(R407,R406,R405,R404,R403)</f>
        <v>2</v>
      </c>
      <c r="S408" s="20">
        <f>SUM(S407,S406,S405,S404,S403)</f>
        <v>0</v>
      </c>
      <c r="T408" s="20">
        <f>SUM(T407,T406,T405,T404,T403)</f>
        <v>2</v>
      </c>
      <c r="U408" s="20" t="str">
        <f t="shared" si="1931"/>
        <v>0%</v>
      </c>
      <c r="V408" s="22"/>
      <c r="W408" s="20">
        <f>SUM(W407,W406,W405,W404,W403)</f>
        <v>3</v>
      </c>
      <c r="X408" s="20">
        <f>SUM(X407,X406,X405,X404,X403)</f>
        <v>1</v>
      </c>
      <c r="Y408" s="20">
        <f>SUM(Y407,Y406,Y405,Y404,Y403)</f>
        <v>2</v>
      </c>
      <c r="Z408" s="20" t="str">
        <f t="shared" si="1933"/>
        <v>33.33%</v>
      </c>
      <c r="AA408" s="22"/>
      <c r="AB408" s="20">
        <f>SUM(AB407,AB406,AB405,AB404,AB403)</f>
        <v>3</v>
      </c>
      <c r="AC408" s="20">
        <f>SUM(AC407,AC406,AC405,AC404,AC403)</f>
        <v>1</v>
      </c>
      <c r="AD408" s="20">
        <f>SUM(AD407,AD406,AD405,AD404,AD403)</f>
        <v>2</v>
      </c>
      <c r="AE408" s="20" t="str">
        <f t="shared" si="1935"/>
        <v>33.33%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1</v>
      </c>
      <c r="BG408" s="20">
        <f>SUM(BG407,BG406,BG405,BG404,BG403)</f>
        <v>1</v>
      </c>
      <c r="BH408" s="20">
        <f>SUM(BH407,BH406,BH405,BH404,BH403)</f>
        <v>0</v>
      </c>
      <c r="BI408" s="20" t="str">
        <f t="shared" si="1947"/>
        <v>100%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196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-25%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-16.67%</v>
      </c>
      <c r="AF409" s="22"/>
      <c r="AG409" s="22"/>
      <c r="AH409" s="22"/>
      <c r="AI409" s="22"/>
      <c r="AJ409" s="20" t="str">
        <f>(AJ406-AJ165)*100 &amp; "%"</f>
        <v>-42.86%</v>
      </c>
      <c r="AK409" s="22"/>
      <c r="AL409" s="22"/>
      <c r="AM409" s="22"/>
      <c r="AN409" s="22"/>
      <c r="AO409" s="20" t="str">
        <f>(AO406-AO165)*100 &amp; "%"</f>
        <v>-33.33%</v>
      </c>
      <c r="AP409" s="22"/>
      <c r="AQ409" s="22"/>
      <c r="AR409" s="22"/>
      <c r="AS409" s="22"/>
      <c r="AT409" s="20" t="str">
        <f>(AT406-AT165)*100 &amp; "%"</f>
        <v>0%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197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-30%</v>
      </c>
      <c r="L410" s="22"/>
      <c r="M410" s="22"/>
      <c r="N410" s="22"/>
      <c r="O410" s="22"/>
      <c r="P410" s="20" t="str">
        <f>(P407-P106)*100 &amp; "%"</f>
        <v>25%</v>
      </c>
      <c r="Q410" s="22"/>
      <c r="R410" s="22"/>
      <c r="S410" s="22"/>
      <c r="T410" s="22"/>
      <c r="U410" s="20" t="str">
        <f>(U407-U106)*100 &amp; "%"</f>
        <v>-66.67%</v>
      </c>
      <c r="V410" s="22"/>
      <c r="W410" s="22"/>
      <c r="X410" s="22"/>
      <c r="Y410" s="22"/>
      <c r="Z410" s="20" t="str">
        <f>(Z407-Z106)*100 &amp; "%"</f>
        <v>-43.59%</v>
      </c>
      <c r="AA410" s="22"/>
      <c r="AB410" s="22"/>
      <c r="AC410" s="22"/>
      <c r="AD410" s="22"/>
      <c r="AE410" s="20" t="str">
        <f>(AE407-AE106)*100 &amp; "%"</f>
        <v>-35.9%</v>
      </c>
      <c r="AF410" s="22"/>
      <c r="AG410" s="22"/>
      <c r="AH410" s="22"/>
      <c r="AI410" s="22"/>
      <c r="AJ410" s="20" t="str">
        <f>(AJ407-AJ106)*100 &amp; "%"</f>
        <v>-91.67%</v>
      </c>
      <c r="AK410" s="22"/>
      <c r="AL410" s="22"/>
      <c r="AM410" s="22"/>
      <c r="AN410" s="22"/>
      <c r="AO410" s="20" t="str">
        <f>(AO407-AO106)*100 &amp; "%"</f>
        <v>-87.5%</v>
      </c>
      <c r="AP410" s="22"/>
      <c r="AQ410" s="22"/>
      <c r="AR410" s="22"/>
      <c r="AS410" s="22"/>
      <c r="AT410" s="20" t="str">
        <f>(AT407-AT106)*100 &amp; "%"</f>
        <v>-40%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0%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0%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199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-0.375</v>
      </c>
      <c r="L411" s="22"/>
      <c r="M411" s="22"/>
      <c r="N411" s="22"/>
      <c r="O411" s="22"/>
      <c r="P411" s="23">
        <f>P408-P166</f>
        <v>0.21430000000000005</v>
      </c>
      <c r="Q411" s="22"/>
      <c r="R411" s="22"/>
      <c r="S411" s="22"/>
      <c r="T411" s="22"/>
      <c r="U411" s="23">
        <f>U408-U166</f>
        <v>-0.5625</v>
      </c>
      <c r="V411" s="22"/>
      <c r="W411" s="22"/>
      <c r="X411" s="22"/>
      <c r="Y411" s="22"/>
      <c r="Z411" s="23">
        <f>Z408-Z166</f>
        <v>-0.29830000000000007</v>
      </c>
      <c r="AA411" s="22"/>
      <c r="AB411" s="22"/>
      <c r="AC411" s="22"/>
      <c r="AD411" s="22"/>
      <c r="AE411" s="23">
        <f>AE408-AE166</f>
        <v>-0.193</v>
      </c>
      <c r="AF411" s="22"/>
      <c r="AG411" s="22"/>
      <c r="AH411" s="22"/>
      <c r="AI411" s="22"/>
      <c r="AJ411" s="23">
        <f>AJ408-AJ166</f>
        <v>-0.73680000000000001</v>
      </c>
      <c r="AK411" s="22"/>
      <c r="AL411" s="22"/>
      <c r="AM411" s="22"/>
      <c r="AN411" s="22"/>
      <c r="AO411" s="23">
        <f>AO408-AO166</f>
        <v>-0.72729999999999995</v>
      </c>
      <c r="AP411" s="22"/>
      <c r="AQ411" s="22"/>
      <c r="AR411" s="22"/>
      <c r="AS411" s="22"/>
      <c r="AT411" s="23">
        <f>AT408-AT166</f>
        <v>-0.22220000000000001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0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0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0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193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192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1</v>
      </c>
      <c r="S415" s="20">
        <v>1</v>
      </c>
      <c r="T415" s="20">
        <v>0</v>
      </c>
      <c r="U415" s="20" t="str">
        <f t="shared" ref="U415:U419" si="2001">IF(R415,ROUND(S415/R415*100,2),0) &amp; "%"</f>
        <v>100%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1</v>
      </c>
      <c r="AH415" s="20">
        <v>1</v>
      </c>
      <c r="AI415" s="20">
        <v>0</v>
      </c>
      <c r="AJ415" s="20" t="str">
        <f t="shared" ref="AJ415:AJ419" si="2007">IF(AG415,ROUND(AH415/AG415*100,2),0) &amp; "%"</f>
        <v>100%</v>
      </c>
      <c r="AK415" s="22"/>
      <c r="AL415" s="20">
        <f t="shared" ref="AL415:AL418" si="2008">SUM(AM415,AN415)</f>
        <v>1</v>
      </c>
      <c r="AM415" s="20">
        <v>1</v>
      </c>
      <c r="AN415" s="20">
        <v>0</v>
      </c>
      <c r="AO415" s="20" t="str">
        <f t="shared" ref="AO415:AO419" si="2009">IF(AL415,ROUND(AM415/AL415*100,2),0) &amp; "%"</f>
        <v>100%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194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195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1</v>
      </c>
      <c r="S417" s="20">
        <v>1</v>
      </c>
      <c r="T417" s="20">
        <v>0</v>
      </c>
      <c r="U417" s="20" t="str">
        <f t="shared" si="2001"/>
        <v>100%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1</v>
      </c>
      <c r="AH417" s="20">
        <v>1</v>
      </c>
      <c r="AI417" s="20">
        <v>0</v>
      </c>
      <c r="AJ417" s="20" t="str">
        <f t="shared" si="2007"/>
        <v>100%</v>
      </c>
      <c r="AK417" s="22"/>
      <c r="AL417" s="20">
        <f t="shared" si="2008"/>
        <v>1</v>
      </c>
      <c r="AM417" s="20">
        <v>1</v>
      </c>
      <c r="AN417" s="20">
        <v>0</v>
      </c>
      <c r="AO417" s="20" t="str">
        <f t="shared" si="2009"/>
        <v>100%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191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3</v>
      </c>
      <c r="N418" s="20">
        <v>2</v>
      </c>
      <c r="O418" s="20">
        <v>1</v>
      </c>
      <c r="P418" s="20" t="str">
        <f t="shared" si="1999"/>
        <v>66.67%</v>
      </c>
      <c r="Q418" s="22"/>
      <c r="R418" s="20">
        <f t="shared" si="2000"/>
        <v>3</v>
      </c>
      <c r="S418" s="20">
        <v>2</v>
      </c>
      <c r="T418" s="20">
        <v>1</v>
      </c>
      <c r="U418" s="20" t="str">
        <f t="shared" si="2001"/>
        <v>66.67%</v>
      </c>
      <c r="V418" s="22"/>
      <c r="W418" s="20">
        <f t="shared" si="2002"/>
        <v>1</v>
      </c>
      <c r="X418" s="20">
        <v>1</v>
      </c>
      <c r="Y418" s="20">
        <v>0</v>
      </c>
      <c r="Z418" s="20" t="str">
        <f t="shared" si="2003"/>
        <v>100%</v>
      </c>
      <c r="AA418" s="22"/>
      <c r="AB418" s="20">
        <f t="shared" si="2004"/>
        <v>1</v>
      </c>
      <c r="AC418" s="20">
        <v>1</v>
      </c>
      <c r="AD418" s="20">
        <v>0</v>
      </c>
      <c r="AE418" s="20" t="str">
        <f t="shared" si="2005"/>
        <v>100%</v>
      </c>
      <c r="AF418" s="22"/>
      <c r="AG418" s="20">
        <f t="shared" si="2006"/>
        <v>3</v>
      </c>
      <c r="AH418" s="20">
        <v>2</v>
      </c>
      <c r="AI418" s="20">
        <v>1</v>
      </c>
      <c r="AJ418" s="20" t="str">
        <f t="shared" si="2007"/>
        <v>66.67%</v>
      </c>
      <c r="AK418" s="22"/>
      <c r="AL418" s="20">
        <f t="shared" si="2008"/>
        <v>2</v>
      </c>
      <c r="AM418" s="20">
        <v>1</v>
      </c>
      <c r="AN418" s="20">
        <v>1</v>
      </c>
      <c r="AO418" s="20" t="str">
        <f t="shared" si="2009"/>
        <v>50%</v>
      </c>
      <c r="AP418" s="22"/>
      <c r="AQ418" s="20">
        <f t="shared" si="2010"/>
        <v>2</v>
      </c>
      <c r="AR418" s="20">
        <v>1</v>
      </c>
      <c r="AS418" s="20">
        <v>1</v>
      </c>
      <c r="AT418" s="20" t="str">
        <f t="shared" si="2011"/>
        <v>50%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1</v>
      </c>
      <c r="ED418" s="20">
        <v>0</v>
      </c>
      <c r="EE418" s="20">
        <v>1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2</v>
      </c>
      <c r="ES418" s="20">
        <v>2</v>
      </c>
      <c r="ET418" s="20">
        <v>0</v>
      </c>
      <c r="EU418" s="20" t="str">
        <f t="shared" si="2051"/>
        <v>100%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198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3</v>
      </c>
      <c r="N419" s="20">
        <f>SUM(N418,N417,N416,N415,N414)</f>
        <v>2</v>
      </c>
      <c r="O419" s="20">
        <f>SUM(O418,O417,O416,O415,O414)</f>
        <v>1</v>
      </c>
      <c r="P419" s="20" t="str">
        <f t="shared" si="1999"/>
        <v>66.67%</v>
      </c>
      <c r="Q419" s="22"/>
      <c r="R419" s="20">
        <f>SUM(R418,R417,R416,R415,R414)</f>
        <v>5</v>
      </c>
      <c r="S419" s="20">
        <f>SUM(S418,S417,S416,S415,S414)</f>
        <v>4</v>
      </c>
      <c r="T419" s="20">
        <f>SUM(T418,T417,T416,T415,T414)</f>
        <v>1</v>
      </c>
      <c r="U419" s="20" t="str">
        <f t="shared" si="2001"/>
        <v>80%</v>
      </c>
      <c r="V419" s="22"/>
      <c r="W419" s="20">
        <f>SUM(W418,W417,W416,W415,W414)</f>
        <v>1</v>
      </c>
      <c r="X419" s="20">
        <f>SUM(X418,X417,X416,X415,X414)</f>
        <v>1</v>
      </c>
      <c r="Y419" s="20">
        <f>SUM(Y418,Y417,Y416,Y415,Y414)</f>
        <v>0</v>
      </c>
      <c r="Z419" s="20" t="str">
        <f t="shared" si="2003"/>
        <v>100%</v>
      </c>
      <c r="AA419" s="22"/>
      <c r="AB419" s="20">
        <f>SUM(AB418,AB417,AB416,AB415,AB414)</f>
        <v>1</v>
      </c>
      <c r="AC419" s="20">
        <f>SUM(AC418,AC417,AC416,AC415,AC414)</f>
        <v>1</v>
      </c>
      <c r="AD419" s="20">
        <f>SUM(AD418,AD417,AD416,AD415,AD414)</f>
        <v>0</v>
      </c>
      <c r="AE419" s="20" t="str">
        <f t="shared" si="2005"/>
        <v>100%</v>
      </c>
      <c r="AF419" s="22"/>
      <c r="AG419" s="20">
        <f>SUM(AG418,AG417,AG416,AG415,AG414)</f>
        <v>5</v>
      </c>
      <c r="AH419" s="20">
        <f>SUM(AH418,AH417,AH416,AH415,AH414)</f>
        <v>4</v>
      </c>
      <c r="AI419" s="20">
        <f>SUM(AI418,AI417,AI416,AI415,AI414)</f>
        <v>1</v>
      </c>
      <c r="AJ419" s="20" t="str">
        <f t="shared" si="2007"/>
        <v>80%</v>
      </c>
      <c r="AK419" s="22"/>
      <c r="AL419" s="20">
        <f>SUM(AL418,AL417,AL416,AL415,AL414)</f>
        <v>4</v>
      </c>
      <c r="AM419" s="20">
        <f>SUM(AM418,AM417,AM416,AM415,AM414)</f>
        <v>3</v>
      </c>
      <c r="AN419" s="20">
        <f>SUM(AN418,AN417,AN416,AN415,AN414)</f>
        <v>1</v>
      </c>
      <c r="AO419" s="20" t="str">
        <f t="shared" si="2009"/>
        <v>75%</v>
      </c>
      <c r="AP419" s="22"/>
      <c r="AQ419" s="20">
        <f>SUM(AQ418,AQ417,AQ416,AQ415,AQ414)</f>
        <v>2</v>
      </c>
      <c r="AR419" s="20">
        <f>SUM(AR418,AR417,AR416,AR415,AR414)</f>
        <v>1</v>
      </c>
      <c r="AS419" s="20">
        <f>SUM(AS418,AS417,AS416,AS415,AS414)</f>
        <v>1</v>
      </c>
      <c r="AT419" s="20" t="str">
        <f t="shared" si="2011"/>
        <v>50%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1</v>
      </c>
      <c r="ED419" s="20">
        <f>SUM(ED418,ED417,ED416,ED415,ED414)</f>
        <v>0</v>
      </c>
      <c r="EE419" s="20">
        <f>SUM(EE418,EE417,EE416,EE415,EE414)</f>
        <v>1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2</v>
      </c>
      <c r="ES419" s="20">
        <f>SUM(ES418,ES417,ES416,ES415,ES414)</f>
        <v>2</v>
      </c>
      <c r="ET419" s="20">
        <f>SUM(ET418,ET417,ET416,ET415,ET414)</f>
        <v>0</v>
      </c>
      <c r="EU419" s="20" t="str">
        <f t="shared" si="2051"/>
        <v>100%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196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75%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-16.67%</v>
      </c>
      <c r="AF420" s="22"/>
      <c r="AG420" s="22"/>
      <c r="AH420" s="22"/>
      <c r="AI420" s="22"/>
      <c r="AJ420" s="20" t="str">
        <f>(AJ417-AJ165)*100 &amp; "%"</f>
        <v>57.14%</v>
      </c>
      <c r="AK420" s="22"/>
      <c r="AL420" s="22"/>
      <c r="AM420" s="22"/>
      <c r="AN420" s="22"/>
      <c r="AO420" s="20" t="str">
        <f>(AO417-AO165)*100 &amp; "%"</f>
        <v>66.67%</v>
      </c>
      <c r="AP420" s="22"/>
      <c r="AQ420" s="22"/>
      <c r="AR420" s="22"/>
      <c r="AS420" s="22"/>
      <c r="AT420" s="20" t="str">
        <f>(AT417-AT165)*100 &amp; "%"</f>
        <v>0%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197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-8.33%</v>
      </c>
      <c r="Q421" s="22"/>
      <c r="R421" s="22"/>
      <c r="S421" s="22"/>
      <c r="T421" s="22"/>
      <c r="U421" s="20" t="str">
        <f>(U418-U106)*100 &amp; "%"</f>
        <v>0%</v>
      </c>
      <c r="V421" s="22"/>
      <c r="W421" s="22"/>
      <c r="X421" s="22"/>
      <c r="Y421" s="22"/>
      <c r="Z421" s="20" t="str">
        <f>(Z418-Z106)*100 &amp; "%"</f>
        <v>23.08%</v>
      </c>
      <c r="AA421" s="22"/>
      <c r="AB421" s="22"/>
      <c r="AC421" s="22"/>
      <c r="AD421" s="22"/>
      <c r="AE421" s="20" t="str">
        <f>(AE418-AE106)*100 &amp; "%"</f>
        <v>30.77%</v>
      </c>
      <c r="AF421" s="22"/>
      <c r="AG421" s="22"/>
      <c r="AH421" s="22"/>
      <c r="AI421" s="22"/>
      <c r="AJ421" s="20" t="str">
        <f>(AJ418-AJ106)*100 &amp; "%"</f>
        <v>-25%</v>
      </c>
      <c r="AK421" s="22"/>
      <c r="AL421" s="22"/>
      <c r="AM421" s="22"/>
      <c r="AN421" s="22"/>
      <c r="AO421" s="20" t="str">
        <f>(AO418-AO106)*100 &amp; "%"</f>
        <v>-37.5%</v>
      </c>
      <c r="AP421" s="22"/>
      <c r="AQ421" s="22"/>
      <c r="AR421" s="22"/>
      <c r="AS421" s="22"/>
      <c r="AT421" s="20" t="str">
        <f>(AT418-AT106)*100 &amp; "%"</f>
        <v>10%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0%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0%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199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-0.11899999999999999</v>
      </c>
      <c r="Q422" s="22"/>
      <c r="R422" s="22"/>
      <c r="S422" s="22"/>
      <c r="T422" s="22"/>
      <c r="U422" s="23">
        <f>U419-U166</f>
        <v>0.23750000000000004</v>
      </c>
      <c r="V422" s="22"/>
      <c r="W422" s="22"/>
      <c r="X422" s="22"/>
      <c r="Y422" s="22"/>
      <c r="Z422" s="23">
        <f>Z419-Z166</f>
        <v>0.36839999999999995</v>
      </c>
      <c r="AA422" s="22"/>
      <c r="AB422" s="22"/>
      <c r="AC422" s="22"/>
      <c r="AD422" s="22"/>
      <c r="AE422" s="23">
        <f>AE419-AE166</f>
        <v>0.47370000000000001</v>
      </c>
      <c r="AF422" s="22"/>
      <c r="AG422" s="22"/>
      <c r="AH422" s="22"/>
      <c r="AI422" s="22"/>
      <c r="AJ422" s="23">
        <f>AJ419-AJ166</f>
        <v>6.3200000000000034E-2</v>
      </c>
      <c r="AK422" s="22"/>
      <c r="AL422" s="22"/>
      <c r="AM422" s="22"/>
      <c r="AN422" s="22"/>
      <c r="AO422" s="23">
        <f>AO419-AO166</f>
        <v>2.2700000000000053E-2</v>
      </c>
      <c r="AP422" s="22"/>
      <c r="AQ422" s="22"/>
      <c r="AR422" s="22"/>
      <c r="AS422" s="22"/>
      <c r="AT422" s="23">
        <f>AT419-AT166</f>
        <v>0.27779999999999999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0.4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0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0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193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192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194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195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191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198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196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-25%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-16.67%</v>
      </c>
      <c r="AF431" s="22"/>
      <c r="AG431" s="22"/>
      <c r="AH431" s="22"/>
      <c r="AI431" s="22"/>
      <c r="AJ431" s="20" t="str">
        <f>(AJ428-AJ165)*100 &amp; "%"</f>
        <v>-42.86%</v>
      </c>
      <c r="AK431" s="22"/>
      <c r="AL431" s="22"/>
      <c r="AM431" s="22"/>
      <c r="AN431" s="22"/>
      <c r="AO431" s="20" t="str">
        <f>(AO428-AO165)*100 &amp; "%"</f>
        <v>-33.33%</v>
      </c>
      <c r="AP431" s="22"/>
      <c r="AQ431" s="22"/>
      <c r="AR431" s="22"/>
      <c r="AS431" s="22"/>
      <c r="AT431" s="20" t="str">
        <f>(AT428-AT165)*100 &amp; "%"</f>
        <v>0%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197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-66.67%</v>
      </c>
      <c r="V432" s="22"/>
      <c r="W432" s="22"/>
      <c r="X432" s="22"/>
      <c r="Y432" s="22"/>
      <c r="Z432" s="20" t="str">
        <f>(Z429-Z106)*100 &amp; "%"</f>
        <v>-76.92%</v>
      </c>
      <c r="AA432" s="22"/>
      <c r="AB432" s="22"/>
      <c r="AC432" s="22"/>
      <c r="AD432" s="22"/>
      <c r="AE432" s="20" t="str">
        <f>(AE429-AE106)*100 &amp; "%"</f>
        <v>-69.23%</v>
      </c>
      <c r="AF432" s="22"/>
      <c r="AG432" s="22"/>
      <c r="AH432" s="22"/>
      <c r="AI432" s="22"/>
      <c r="AJ432" s="20" t="str">
        <f>(AJ429-AJ106)*100 &amp; "%"</f>
        <v>-91.67%</v>
      </c>
      <c r="AK432" s="22"/>
      <c r="AL432" s="22"/>
      <c r="AM432" s="22"/>
      <c r="AN432" s="22"/>
      <c r="AO432" s="20" t="str">
        <f>(AO429-AO106)*100 &amp; "%"</f>
        <v>-87.5%</v>
      </c>
      <c r="AP432" s="22"/>
      <c r="AQ432" s="22"/>
      <c r="AR432" s="22"/>
      <c r="AS432" s="22"/>
      <c r="AT432" s="20" t="str">
        <f>(AT429-AT106)*100 &amp; "%"</f>
        <v>-40%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0%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0%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199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-0.5625</v>
      </c>
      <c r="V433" s="22"/>
      <c r="W433" s="22"/>
      <c r="X433" s="22"/>
      <c r="Y433" s="22"/>
      <c r="Z433" s="23">
        <f>Z430-Z166</f>
        <v>-0.63160000000000005</v>
      </c>
      <c r="AA433" s="22"/>
      <c r="AB433" s="22"/>
      <c r="AC433" s="22"/>
      <c r="AD433" s="22"/>
      <c r="AE433" s="23">
        <f>AE430-AE166</f>
        <v>-0.52629999999999999</v>
      </c>
      <c r="AF433" s="22"/>
      <c r="AG433" s="22"/>
      <c r="AH433" s="22"/>
      <c r="AI433" s="22"/>
      <c r="AJ433" s="23">
        <f>AJ430-AJ166</f>
        <v>-0.73680000000000001</v>
      </c>
      <c r="AK433" s="22"/>
      <c r="AL433" s="22"/>
      <c r="AM433" s="22"/>
      <c r="AN433" s="22"/>
      <c r="AO433" s="23">
        <f>AO430-AO166</f>
        <v>-0.72729999999999995</v>
      </c>
      <c r="AP433" s="22"/>
      <c r="AQ433" s="22"/>
      <c r="AR433" s="22"/>
      <c r="AS433" s="22"/>
      <c r="AT433" s="23">
        <f>AT430-AT166</f>
        <v>-0.22220000000000001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0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0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193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192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194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195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191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198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196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-25%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-16.67%</v>
      </c>
      <c r="AF442" s="22"/>
      <c r="AG442" s="22"/>
      <c r="AH442" s="22"/>
      <c r="AI442" s="22"/>
      <c r="AJ442" s="20" t="str">
        <f>(AJ439-AJ165)*100 &amp; "%"</f>
        <v>-42.86%</v>
      </c>
      <c r="AK442" s="22"/>
      <c r="AL442" s="22"/>
      <c r="AM442" s="22"/>
      <c r="AN442" s="22"/>
      <c r="AO442" s="20" t="str">
        <f>(AO439-AO165)*100 &amp; "%"</f>
        <v>-33.33%</v>
      </c>
      <c r="AP442" s="22"/>
      <c r="AQ442" s="22"/>
      <c r="AR442" s="22"/>
      <c r="AS442" s="22"/>
      <c r="AT442" s="20" t="str">
        <f>(AT439-AT165)*100 &amp; "%"</f>
        <v>0%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197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-66.67%</v>
      </c>
      <c r="V443" s="22"/>
      <c r="W443" s="22"/>
      <c r="X443" s="22"/>
      <c r="Y443" s="22"/>
      <c r="Z443" s="20" t="str">
        <f>(Z440-Z106)*100 &amp; "%"</f>
        <v>-76.92%</v>
      </c>
      <c r="AA443" s="22"/>
      <c r="AB443" s="22"/>
      <c r="AC443" s="22"/>
      <c r="AD443" s="22"/>
      <c r="AE443" s="20" t="str">
        <f>(AE440-AE106)*100 &amp; "%"</f>
        <v>-69.23%</v>
      </c>
      <c r="AF443" s="22"/>
      <c r="AG443" s="22"/>
      <c r="AH443" s="22"/>
      <c r="AI443" s="22"/>
      <c r="AJ443" s="20" t="str">
        <f>(AJ440-AJ106)*100 &amp; "%"</f>
        <v>-91.67%</v>
      </c>
      <c r="AK443" s="22"/>
      <c r="AL443" s="22"/>
      <c r="AM443" s="22"/>
      <c r="AN443" s="22"/>
      <c r="AO443" s="20" t="str">
        <f>(AO440-AO106)*100 &amp; "%"</f>
        <v>-87.5%</v>
      </c>
      <c r="AP443" s="22"/>
      <c r="AQ443" s="22"/>
      <c r="AR443" s="22"/>
      <c r="AS443" s="22"/>
      <c r="AT443" s="20" t="str">
        <f>(AT440-AT106)*100 &amp; "%"</f>
        <v>-40%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0%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0%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199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-0.5625</v>
      </c>
      <c r="V444" s="22"/>
      <c r="W444" s="22"/>
      <c r="X444" s="22"/>
      <c r="Y444" s="22"/>
      <c r="Z444" s="23">
        <f>Z441-Z166</f>
        <v>-0.63160000000000005</v>
      </c>
      <c r="AA444" s="22"/>
      <c r="AB444" s="22"/>
      <c r="AC444" s="22"/>
      <c r="AD444" s="22"/>
      <c r="AE444" s="23">
        <f>AE441-AE166</f>
        <v>-0.52629999999999999</v>
      </c>
      <c r="AF444" s="22"/>
      <c r="AG444" s="22"/>
      <c r="AH444" s="22"/>
      <c r="AI444" s="22"/>
      <c r="AJ444" s="23">
        <f>AJ441-AJ166</f>
        <v>-0.73680000000000001</v>
      </c>
      <c r="AK444" s="22"/>
      <c r="AL444" s="22"/>
      <c r="AM444" s="22"/>
      <c r="AN444" s="22"/>
      <c r="AO444" s="23">
        <f>AO441-AO166</f>
        <v>-0.72729999999999995</v>
      </c>
      <c r="AP444" s="22"/>
      <c r="AQ444" s="22"/>
      <c r="AR444" s="22"/>
      <c r="AS444" s="22"/>
      <c r="AT444" s="23">
        <f>AT441-AT166</f>
        <v>-0.22220000000000001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0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0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193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192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1</v>
      </c>
      <c r="AM448" s="20">
        <v>0</v>
      </c>
      <c r="AN448" s="20">
        <v>1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1</v>
      </c>
      <c r="AR448" s="20">
        <v>0</v>
      </c>
      <c r="AS448" s="20">
        <v>1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194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195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1</v>
      </c>
      <c r="AM450" s="20">
        <v>0</v>
      </c>
      <c r="AN450" s="20">
        <v>1</v>
      </c>
      <c r="AO450" s="20" t="str">
        <f t="shared" si="2219"/>
        <v>0%</v>
      </c>
      <c r="AP450" s="22"/>
      <c r="AQ450" s="20">
        <f t="shared" si="2220"/>
        <v>1</v>
      </c>
      <c r="AR450" s="20">
        <v>0</v>
      </c>
      <c r="AS450" s="20">
        <v>1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191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3</v>
      </c>
      <c r="N451" s="20">
        <v>0</v>
      </c>
      <c r="O451" s="20">
        <v>3</v>
      </c>
      <c r="P451" s="20" t="str">
        <f t="shared" si="2209"/>
        <v>0%</v>
      </c>
      <c r="Q451" s="22"/>
      <c r="R451" s="20">
        <f t="shared" si="2210"/>
        <v>2</v>
      </c>
      <c r="S451" s="20">
        <v>0</v>
      </c>
      <c r="T451" s="20">
        <v>2</v>
      </c>
      <c r="U451" s="20" t="str">
        <f t="shared" si="2211"/>
        <v>0%</v>
      </c>
      <c r="V451" s="22"/>
      <c r="W451" s="20">
        <f t="shared" si="2212"/>
        <v>1</v>
      </c>
      <c r="X451" s="20">
        <v>0</v>
      </c>
      <c r="Y451" s="20">
        <v>1</v>
      </c>
      <c r="Z451" s="20" t="str">
        <f t="shared" si="2213"/>
        <v>0%</v>
      </c>
      <c r="AA451" s="22"/>
      <c r="AB451" s="20">
        <f t="shared" si="2214"/>
        <v>2</v>
      </c>
      <c r="AC451" s="20">
        <v>0</v>
      </c>
      <c r="AD451" s="20">
        <v>2</v>
      </c>
      <c r="AE451" s="20" t="str">
        <f t="shared" si="2215"/>
        <v>0%</v>
      </c>
      <c r="AF451" s="22"/>
      <c r="AG451" s="20">
        <f t="shared" si="2216"/>
        <v>1</v>
      </c>
      <c r="AH451" s="20">
        <v>0</v>
      </c>
      <c r="AI451" s="20">
        <v>1</v>
      </c>
      <c r="AJ451" s="20" t="str">
        <f t="shared" si="2217"/>
        <v>0%</v>
      </c>
      <c r="AK451" s="22"/>
      <c r="AL451" s="20">
        <f t="shared" si="2218"/>
        <v>1</v>
      </c>
      <c r="AM451" s="20">
        <v>0</v>
      </c>
      <c r="AN451" s="20">
        <v>1</v>
      </c>
      <c r="AO451" s="20" t="str">
        <f t="shared" si="2219"/>
        <v>0%</v>
      </c>
      <c r="AP451" s="22"/>
      <c r="AQ451" s="20">
        <f t="shared" si="2220"/>
        <v>3</v>
      </c>
      <c r="AR451" s="20">
        <v>0</v>
      </c>
      <c r="AS451" s="20">
        <v>3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1</v>
      </c>
      <c r="DO451" s="20">
        <v>0</v>
      </c>
      <c r="DP451" s="20">
        <v>1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2</v>
      </c>
      <c r="ES451" s="20">
        <v>0</v>
      </c>
      <c r="ET451" s="20">
        <v>2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198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3</v>
      </c>
      <c r="N452" s="20">
        <f>SUM(N451,N450,N449,N448,N447)</f>
        <v>0</v>
      </c>
      <c r="O452" s="20">
        <f>SUM(O451,O450,O449,O448,O447)</f>
        <v>3</v>
      </c>
      <c r="P452" s="20" t="str">
        <f t="shared" si="2209"/>
        <v>0%</v>
      </c>
      <c r="Q452" s="22"/>
      <c r="R452" s="20">
        <f>SUM(R451,R450,R449,R448,R447)</f>
        <v>2</v>
      </c>
      <c r="S452" s="20">
        <f>SUM(S451,S450,S449,S448,S447)</f>
        <v>0</v>
      </c>
      <c r="T452" s="20">
        <f>SUM(T451,T450,T449,T448,T447)</f>
        <v>2</v>
      </c>
      <c r="U452" s="20" t="str">
        <f t="shared" si="2211"/>
        <v>0%</v>
      </c>
      <c r="V452" s="22"/>
      <c r="W452" s="20">
        <f>SUM(W451,W450,W449,W448,W447)</f>
        <v>1</v>
      </c>
      <c r="X452" s="20">
        <f>SUM(X451,X450,X449,X448,X447)</f>
        <v>0</v>
      </c>
      <c r="Y452" s="20">
        <f>SUM(Y451,Y450,Y449,Y448,Y447)</f>
        <v>1</v>
      </c>
      <c r="Z452" s="20" t="str">
        <f t="shared" si="2213"/>
        <v>0%</v>
      </c>
      <c r="AA452" s="22"/>
      <c r="AB452" s="20">
        <f>SUM(AB451,AB450,AB449,AB448,AB447)</f>
        <v>2</v>
      </c>
      <c r="AC452" s="20">
        <f>SUM(AC451,AC450,AC449,AC448,AC447)</f>
        <v>0</v>
      </c>
      <c r="AD452" s="20">
        <f>SUM(AD451,AD450,AD449,AD448,AD447)</f>
        <v>2</v>
      </c>
      <c r="AE452" s="20" t="str">
        <f t="shared" si="2215"/>
        <v>0%</v>
      </c>
      <c r="AF452" s="22"/>
      <c r="AG452" s="20">
        <f>SUM(AG451,AG450,AG449,AG448,AG447)</f>
        <v>1</v>
      </c>
      <c r="AH452" s="20">
        <f>SUM(AH451,AH450,AH449,AH448,AH447)</f>
        <v>0</v>
      </c>
      <c r="AI452" s="20">
        <f>SUM(AI451,AI450,AI449,AI448,AI447)</f>
        <v>1</v>
      </c>
      <c r="AJ452" s="20" t="str">
        <f t="shared" si="2217"/>
        <v>0%</v>
      </c>
      <c r="AK452" s="22"/>
      <c r="AL452" s="20">
        <f>SUM(AL451,AL450,AL449,AL448,AL447)</f>
        <v>3</v>
      </c>
      <c r="AM452" s="20">
        <f>SUM(AM451,AM450,AM449,AM448,AM447)</f>
        <v>0</v>
      </c>
      <c r="AN452" s="20">
        <f>SUM(AN451,AN450,AN449,AN448,AN447)</f>
        <v>3</v>
      </c>
      <c r="AO452" s="20" t="str">
        <f t="shared" si="2219"/>
        <v>0%</v>
      </c>
      <c r="AP452" s="22"/>
      <c r="AQ452" s="20">
        <f>SUM(AQ451,AQ450,AQ449,AQ448,AQ447)</f>
        <v>5</v>
      </c>
      <c r="AR452" s="20">
        <f>SUM(AR451,AR450,AR449,AR448,AR447)</f>
        <v>0</v>
      </c>
      <c r="AS452" s="20">
        <f>SUM(AS451,AS450,AS449,AS448,AS447)</f>
        <v>5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1</v>
      </c>
      <c r="DO452" s="20">
        <f>SUM(DO451,DO450,DO449,DO448,DO447)</f>
        <v>0</v>
      </c>
      <c r="DP452" s="20">
        <f>SUM(DP451,DP450,DP449,DP448,DP447)</f>
        <v>1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2</v>
      </c>
      <c r="ES452" s="20">
        <f>SUM(ES451,ES450,ES449,ES448,ES447)</f>
        <v>0</v>
      </c>
      <c r="ET452" s="20">
        <f>SUM(ET451,ET450,ET449,ET448,ET447)</f>
        <v>2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196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-25%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-16.67%</v>
      </c>
      <c r="AF453" s="22"/>
      <c r="AG453" s="22"/>
      <c r="AH453" s="22"/>
      <c r="AI453" s="22"/>
      <c r="AJ453" s="20" t="str">
        <f>(AJ450-AJ165)*100 &amp; "%"</f>
        <v>-42.86%</v>
      </c>
      <c r="AK453" s="22"/>
      <c r="AL453" s="22"/>
      <c r="AM453" s="22"/>
      <c r="AN453" s="22"/>
      <c r="AO453" s="20" t="str">
        <f>(AO450-AO165)*100 &amp; "%"</f>
        <v>-33.33%</v>
      </c>
      <c r="AP453" s="22"/>
      <c r="AQ453" s="22"/>
      <c r="AR453" s="22"/>
      <c r="AS453" s="22"/>
      <c r="AT453" s="20" t="str">
        <f>(AT450-AT165)*100 &amp; "%"</f>
        <v>0%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197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-66.67%</v>
      </c>
      <c r="V454" s="22"/>
      <c r="W454" s="22"/>
      <c r="X454" s="22"/>
      <c r="Y454" s="22"/>
      <c r="Z454" s="20" t="str">
        <f>(Z451-Z106)*100 &amp; "%"</f>
        <v>-76.92%</v>
      </c>
      <c r="AA454" s="22"/>
      <c r="AB454" s="22"/>
      <c r="AC454" s="22"/>
      <c r="AD454" s="22"/>
      <c r="AE454" s="20" t="str">
        <f>(AE451-AE106)*100 &amp; "%"</f>
        <v>-69.23%</v>
      </c>
      <c r="AF454" s="22"/>
      <c r="AG454" s="22"/>
      <c r="AH454" s="22"/>
      <c r="AI454" s="22"/>
      <c r="AJ454" s="20" t="str">
        <f>(AJ451-AJ106)*100 &amp; "%"</f>
        <v>-91.67%</v>
      </c>
      <c r="AK454" s="22"/>
      <c r="AL454" s="22"/>
      <c r="AM454" s="22"/>
      <c r="AN454" s="22"/>
      <c r="AO454" s="20" t="str">
        <f>(AO451-AO106)*100 &amp; "%"</f>
        <v>-87.5%</v>
      </c>
      <c r="AP454" s="22"/>
      <c r="AQ454" s="22"/>
      <c r="AR454" s="22"/>
      <c r="AS454" s="22"/>
      <c r="AT454" s="20" t="str">
        <f>(AT451-AT106)*100 &amp; "%"</f>
        <v>-40%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0%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0%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199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-0.5625</v>
      </c>
      <c r="V455" s="22"/>
      <c r="W455" s="22"/>
      <c r="X455" s="22"/>
      <c r="Y455" s="22"/>
      <c r="Z455" s="23">
        <f>Z452-Z166</f>
        <v>-0.63160000000000005</v>
      </c>
      <c r="AA455" s="22"/>
      <c r="AB455" s="22"/>
      <c r="AC455" s="22"/>
      <c r="AD455" s="22"/>
      <c r="AE455" s="23">
        <f>AE452-AE166</f>
        <v>-0.52629999999999999</v>
      </c>
      <c r="AF455" s="22"/>
      <c r="AG455" s="22"/>
      <c r="AH455" s="22"/>
      <c r="AI455" s="22"/>
      <c r="AJ455" s="23">
        <f>AJ452-AJ166</f>
        <v>-0.73680000000000001</v>
      </c>
      <c r="AK455" s="22"/>
      <c r="AL455" s="22"/>
      <c r="AM455" s="22"/>
      <c r="AN455" s="22"/>
      <c r="AO455" s="23">
        <f>AO452-AO166</f>
        <v>-0.72729999999999995</v>
      </c>
      <c r="AP455" s="22"/>
      <c r="AQ455" s="22"/>
      <c r="AR455" s="22"/>
      <c r="AS455" s="22"/>
      <c r="AT455" s="23">
        <f>AT452-AT166</f>
        <v>-0.22220000000000001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0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0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193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192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194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195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191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198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196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-25%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-16.67%</v>
      </c>
      <c r="AF464" s="22"/>
      <c r="AG464" s="22"/>
      <c r="AH464" s="22"/>
      <c r="AI464" s="22"/>
      <c r="AJ464" s="20" t="str">
        <f>(AJ461-AJ165)*100 &amp; "%"</f>
        <v>-42.86%</v>
      </c>
      <c r="AK464" s="22"/>
      <c r="AL464" s="22"/>
      <c r="AM464" s="22"/>
      <c r="AN464" s="22"/>
      <c r="AO464" s="20" t="str">
        <f>(AO461-AO165)*100 &amp; "%"</f>
        <v>-33.33%</v>
      </c>
      <c r="AP464" s="22"/>
      <c r="AQ464" s="22"/>
      <c r="AR464" s="22"/>
      <c r="AS464" s="22"/>
      <c r="AT464" s="20" t="str">
        <f>(AT461-AT165)*100 &amp; "%"</f>
        <v>0%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197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-66.67%</v>
      </c>
      <c r="V465" s="22"/>
      <c r="W465" s="22"/>
      <c r="X465" s="22"/>
      <c r="Y465" s="22"/>
      <c r="Z465" s="20" t="str">
        <f>(Z462-Z106)*100 &amp; "%"</f>
        <v>-76.92%</v>
      </c>
      <c r="AA465" s="22"/>
      <c r="AB465" s="22"/>
      <c r="AC465" s="22"/>
      <c r="AD465" s="22"/>
      <c r="AE465" s="20" t="str">
        <f>(AE462-AE106)*100 &amp; "%"</f>
        <v>-69.23%</v>
      </c>
      <c r="AF465" s="22"/>
      <c r="AG465" s="22"/>
      <c r="AH465" s="22"/>
      <c r="AI465" s="22"/>
      <c r="AJ465" s="20" t="str">
        <f>(AJ462-AJ106)*100 &amp; "%"</f>
        <v>-91.67%</v>
      </c>
      <c r="AK465" s="22"/>
      <c r="AL465" s="22"/>
      <c r="AM465" s="22"/>
      <c r="AN465" s="22"/>
      <c r="AO465" s="20" t="str">
        <f>(AO462-AO106)*100 &amp; "%"</f>
        <v>-87.5%</v>
      </c>
      <c r="AP465" s="22"/>
      <c r="AQ465" s="22"/>
      <c r="AR465" s="22"/>
      <c r="AS465" s="22"/>
      <c r="AT465" s="20" t="str">
        <f>(AT462-AT106)*100 &amp; "%"</f>
        <v>-40%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0%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0%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199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-0.5625</v>
      </c>
      <c r="V466" s="22"/>
      <c r="W466" s="22"/>
      <c r="X466" s="22"/>
      <c r="Y466" s="22"/>
      <c r="Z466" s="23">
        <f>Z463-Z166</f>
        <v>-0.63160000000000005</v>
      </c>
      <c r="AA466" s="22"/>
      <c r="AB466" s="22"/>
      <c r="AC466" s="22"/>
      <c r="AD466" s="22"/>
      <c r="AE466" s="23">
        <f>AE463-AE166</f>
        <v>-0.52629999999999999</v>
      </c>
      <c r="AF466" s="22"/>
      <c r="AG466" s="22"/>
      <c r="AH466" s="22"/>
      <c r="AI466" s="22"/>
      <c r="AJ466" s="23">
        <f>AJ463-AJ166</f>
        <v>-0.73680000000000001</v>
      </c>
      <c r="AK466" s="22"/>
      <c r="AL466" s="22"/>
      <c r="AM466" s="22"/>
      <c r="AN466" s="22"/>
      <c r="AO466" s="23">
        <f>AO463-AO166</f>
        <v>-0.72729999999999995</v>
      </c>
      <c r="AP466" s="22"/>
      <c r="AQ466" s="22"/>
      <c r="AR466" s="22"/>
      <c r="AS466" s="22"/>
      <c r="AT466" s="23">
        <f>AT463-AT166</f>
        <v>-0.22220000000000001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0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0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193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192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194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195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191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198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196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-25%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-16.67%</v>
      </c>
      <c r="AF475" s="22"/>
      <c r="AG475" s="22"/>
      <c r="AH475" s="22"/>
      <c r="AI475" s="22"/>
      <c r="AJ475" s="20" t="str">
        <f>(AJ472-AJ165)*100 &amp; "%"</f>
        <v>-42.86%</v>
      </c>
      <c r="AK475" s="22"/>
      <c r="AL475" s="22"/>
      <c r="AM475" s="22"/>
      <c r="AN475" s="22"/>
      <c r="AO475" s="20" t="str">
        <f>(AO472-AO165)*100 &amp; "%"</f>
        <v>-33.33%</v>
      </c>
      <c r="AP475" s="22"/>
      <c r="AQ475" s="22"/>
      <c r="AR475" s="22"/>
      <c r="AS475" s="22"/>
      <c r="AT475" s="20" t="str">
        <f>(AT472-AT165)*100 &amp; "%"</f>
        <v>0%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197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-66.67%</v>
      </c>
      <c r="V476" s="22"/>
      <c r="W476" s="22"/>
      <c r="X476" s="22"/>
      <c r="Y476" s="22"/>
      <c r="Z476" s="20" t="str">
        <f>(Z473-Z106)*100 &amp; "%"</f>
        <v>-76.92%</v>
      </c>
      <c r="AA476" s="22"/>
      <c r="AB476" s="22"/>
      <c r="AC476" s="22"/>
      <c r="AD476" s="22"/>
      <c r="AE476" s="20" t="str">
        <f>(AE473-AE106)*100 &amp; "%"</f>
        <v>-69.23%</v>
      </c>
      <c r="AF476" s="22"/>
      <c r="AG476" s="22"/>
      <c r="AH476" s="22"/>
      <c r="AI476" s="22"/>
      <c r="AJ476" s="20" t="str">
        <f>(AJ473-AJ106)*100 &amp; "%"</f>
        <v>-91.67%</v>
      </c>
      <c r="AK476" s="22"/>
      <c r="AL476" s="22"/>
      <c r="AM476" s="22"/>
      <c r="AN476" s="22"/>
      <c r="AO476" s="20" t="str">
        <f>(AO473-AO106)*100 &amp; "%"</f>
        <v>-87.5%</v>
      </c>
      <c r="AP476" s="22"/>
      <c r="AQ476" s="22"/>
      <c r="AR476" s="22"/>
      <c r="AS476" s="22"/>
      <c r="AT476" s="20" t="str">
        <f>(AT473-AT106)*100 &amp; "%"</f>
        <v>-40%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0%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0%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199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-0.5625</v>
      </c>
      <c r="V477" s="22"/>
      <c r="W477" s="22"/>
      <c r="X477" s="22"/>
      <c r="Y477" s="22"/>
      <c r="Z477" s="23">
        <f>Z474-Z166</f>
        <v>-0.63160000000000005</v>
      </c>
      <c r="AA477" s="22"/>
      <c r="AB477" s="22"/>
      <c r="AC477" s="22"/>
      <c r="AD477" s="22"/>
      <c r="AE477" s="23">
        <f>AE474-AE166</f>
        <v>-0.52629999999999999</v>
      </c>
      <c r="AF477" s="22"/>
      <c r="AG477" s="22"/>
      <c r="AH477" s="22"/>
      <c r="AI477" s="22"/>
      <c r="AJ477" s="23">
        <f>AJ474-AJ166</f>
        <v>-0.73680000000000001</v>
      </c>
      <c r="AK477" s="22"/>
      <c r="AL477" s="22"/>
      <c r="AM477" s="22"/>
      <c r="AN477" s="22"/>
      <c r="AO477" s="23">
        <f>AO474-AO166</f>
        <v>-0.72729999999999995</v>
      </c>
      <c r="AP477" s="22"/>
      <c r="AQ477" s="22"/>
      <c r="AR477" s="22"/>
      <c r="AS477" s="22"/>
      <c r="AT477" s="23">
        <f>AT474-AT166</f>
        <v>-0.22220000000000001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0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0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193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1</v>
      </c>
      <c r="X480" s="20">
        <v>1</v>
      </c>
      <c r="Y480" s="20">
        <v>0</v>
      </c>
      <c r="Z480" s="20" t="str">
        <f>IF(W480,ROUND(X480/W480*100,2),0) &amp; "%"</f>
        <v>100%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192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194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1</v>
      </c>
      <c r="AC482" s="20">
        <v>1</v>
      </c>
      <c r="AD482" s="20">
        <v>0</v>
      </c>
      <c r="AE482" s="20" t="str">
        <f t="shared" si="2425"/>
        <v>100%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195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1</v>
      </c>
      <c r="X483" s="20">
        <v>1</v>
      </c>
      <c r="Y483" s="20">
        <v>0</v>
      </c>
      <c r="Z483" s="20" t="str">
        <f t="shared" si="2423"/>
        <v>100%</v>
      </c>
      <c r="AA483" s="22"/>
      <c r="AB483" s="20">
        <f t="shared" si="2424"/>
        <v>1</v>
      </c>
      <c r="AC483" s="20">
        <v>1</v>
      </c>
      <c r="AD483" s="20">
        <v>0</v>
      </c>
      <c r="AE483" s="20" t="str">
        <f t="shared" si="2425"/>
        <v>100%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191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4</v>
      </c>
      <c r="N484" s="20">
        <v>2</v>
      </c>
      <c r="O484" s="20">
        <v>2</v>
      </c>
      <c r="P484" s="20" t="str">
        <f t="shared" si="2419"/>
        <v>50%</v>
      </c>
      <c r="Q484" s="22"/>
      <c r="R484" s="20">
        <f t="shared" si="2420"/>
        <v>3</v>
      </c>
      <c r="S484" s="20">
        <v>2</v>
      </c>
      <c r="T484" s="20">
        <v>1</v>
      </c>
      <c r="U484" s="20" t="str">
        <f t="shared" si="2421"/>
        <v>66.67%</v>
      </c>
      <c r="V484" s="22"/>
      <c r="W484" s="20">
        <f t="shared" si="2422"/>
        <v>2</v>
      </c>
      <c r="X484" s="20">
        <v>1</v>
      </c>
      <c r="Y484" s="20">
        <v>1</v>
      </c>
      <c r="Z484" s="20" t="str">
        <f t="shared" si="2423"/>
        <v>50%</v>
      </c>
      <c r="AA484" s="22"/>
      <c r="AB484" s="20">
        <f t="shared" si="2424"/>
        <v>3</v>
      </c>
      <c r="AC484" s="20">
        <v>1</v>
      </c>
      <c r="AD484" s="20">
        <v>2</v>
      </c>
      <c r="AE484" s="20" t="str">
        <f t="shared" si="2425"/>
        <v>33.33%</v>
      </c>
      <c r="AF484" s="22"/>
      <c r="AG484" s="20">
        <f t="shared" si="2426"/>
        <v>2</v>
      </c>
      <c r="AH484" s="20">
        <v>2</v>
      </c>
      <c r="AI484" s="20">
        <v>0</v>
      </c>
      <c r="AJ484" s="20" t="str">
        <f t="shared" si="2427"/>
        <v>100%</v>
      </c>
      <c r="AK484" s="22"/>
      <c r="AL484" s="20">
        <f t="shared" si="2428"/>
        <v>1</v>
      </c>
      <c r="AM484" s="20">
        <v>1</v>
      </c>
      <c r="AN484" s="20">
        <v>0</v>
      </c>
      <c r="AO484" s="20" t="str">
        <f t="shared" si="2429"/>
        <v>100%</v>
      </c>
      <c r="AP484" s="22"/>
      <c r="AQ484" s="20">
        <f t="shared" si="2430"/>
        <v>3</v>
      </c>
      <c r="AR484" s="20">
        <v>1</v>
      </c>
      <c r="AS484" s="20">
        <v>2</v>
      </c>
      <c r="AT484" s="20" t="str">
        <f t="shared" si="2431"/>
        <v>33.33%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2</v>
      </c>
      <c r="DO484" s="20">
        <v>2</v>
      </c>
      <c r="DP484" s="20">
        <v>0</v>
      </c>
      <c r="DQ484" s="20" t="str">
        <f t="shared" si="2461"/>
        <v>100%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2</v>
      </c>
      <c r="ED484" s="20">
        <v>0</v>
      </c>
      <c r="EE484" s="20">
        <v>2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198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4</v>
      </c>
      <c r="N485" s="20">
        <f>SUM(N484,N483,N482,N481,N480)</f>
        <v>2</v>
      </c>
      <c r="O485" s="20">
        <f>SUM(O484,O483,O482,O481,O480)</f>
        <v>2</v>
      </c>
      <c r="P485" s="20" t="str">
        <f t="shared" si="2419"/>
        <v>50%</v>
      </c>
      <c r="Q485" s="22"/>
      <c r="R485" s="20">
        <f>SUM(R484,R483,R482,R481,R480)</f>
        <v>3</v>
      </c>
      <c r="S485" s="20">
        <f>SUM(S484,S483,S482,S481,S480)</f>
        <v>2</v>
      </c>
      <c r="T485" s="20">
        <f>SUM(T484,T483,T482,T481,T480)</f>
        <v>1</v>
      </c>
      <c r="U485" s="20" t="str">
        <f t="shared" si="2421"/>
        <v>66.67%</v>
      </c>
      <c r="V485" s="22"/>
      <c r="W485" s="20">
        <f>SUM(W484,W483,W482,W481,W480)</f>
        <v>4</v>
      </c>
      <c r="X485" s="20">
        <f>SUM(X484,X483,X482,X481,X480)</f>
        <v>3</v>
      </c>
      <c r="Y485" s="20">
        <f>SUM(Y484,Y483,Y482,Y481,Y480)</f>
        <v>1</v>
      </c>
      <c r="Z485" s="20" t="str">
        <f t="shared" si="2423"/>
        <v>75%</v>
      </c>
      <c r="AA485" s="22"/>
      <c r="AB485" s="20">
        <f>SUM(AB484,AB483,AB482,AB481,AB480)</f>
        <v>5</v>
      </c>
      <c r="AC485" s="20">
        <f>SUM(AC484,AC483,AC482,AC481,AC480)</f>
        <v>3</v>
      </c>
      <c r="AD485" s="20">
        <f>SUM(AD484,AD483,AD482,AD481,AD480)</f>
        <v>2</v>
      </c>
      <c r="AE485" s="20" t="str">
        <f t="shared" si="2425"/>
        <v>60%</v>
      </c>
      <c r="AF485" s="22"/>
      <c r="AG485" s="20">
        <f>SUM(AG484,AG483,AG482,AG481,AG480)</f>
        <v>2</v>
      </c>
      <c r="AH485" s="20">
        <f>SUM(AH484,AH483,AH482,AH481,AH480)</f>
        <v>2</v>
      </c>
      <c r="AI485" s="20">
        <f>SUM(AI484,AI483,AI482,AI481,AI480)</f>
        <v>0</v>
      </c>
      <c r="AJ485" s="20" t="str">
        <f t="shared" si="2427"/>
        <v>100%</v>
      </c>
      <c r="AK485" s="22"/>
      <c r="AL485" s="20">
        <f>SUM(AL484,AL483,AL482,AL481,AL480)</f>
        <v>1</v>
      </c>
      <c r="AM485" s="20">
        <f>SUM(AM484,AM483,AM482,AM481,AM480)</f>
        <v>1</v>
      </c>
      <c r="AN485" s="20">
        <f>SUM(AN484,AN483,AN482,AN481,AN480)</f>
        <v>0</v>
      </c>
      <c r="AO485" s="20" t="str">
        <f t="shared" si="2429"/>
        <v>100%</v>
      </c>
      <c r="AP485" s="22"/>
      <c r="AQ485" s="20">
        <f>SUM(AQ484,AQ483,AQ482,AQ481,AQ480)</f>
        <v>3</v>
      </c>
      <c r="AR485" s="20">
        <f>SUM(AR484,AR483,AR482,AR481,AR480)</f>
        <v>1</v>
      </c>
      <c r="AS485" s="20">
        <f>SUM(AS484,AS483,AS482,AS481,AS480)</f>
        <v>2</v>
      </c>
      <c r="AT485" s="20" t="str">
        <f t="shared" si="2431"/>
        <v>33.33%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2</v>
      </c>
      <c r="DO485" s="20">
        <f>SUM(DO484,DO483,DO482,DO481,DO480)</f>
        <v>2</v>
      </c>
      <c r="DP485" s="20">
        <f>SUM(DP484,DP483,DP482,DP481,DP480)</f>
        <v>0</v>
      </c>
      <c r="DQ485" s="20" t="str">
        <f t="shared" si="2461"/>
        <v>100%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2</v>
      </c>
      <c r="ED485" s="20">
        <f>SUM(ED484,ED483,ED482,ED481,ED480)</f>
        <v>0</v>
      </c>
      <c r="EE485" s="20">
        <f>SUM(EE484,EE483,EE482,EE481,EE480)</f>
        <v>2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196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-25%</v>
      </c>
      <c r="V486" s="22"/>
      <c r="W486" s="22"/>
      <c r="X486" s="22"/>
      <c r="Y486" s="22"/>
      <c r="Z486" s="20" t="str">
        <f>(Z483-Z165)*100 &amp; "%"</f>
        <v>66.67%</v>
      </c>
      <c r="AA486" s="22"/>
      <c r="AB486" s="22"/>
      <c r="AC486" s="22"/>
      <c r="AD486" s="22"/>
      <c r="AE486" s="20" t="str">
        <f>(AE483-AE165)*100 &amp; "%"</f>
        <v>83.33%</v>
      </c>
      <c r="AF486" s="22"/>
      <c r="AG486" s="22"/>
      <c r="AH486" s="22"/>
      <c r="AI486" s="22"/>
      <c r="AJ486" s="20" t="str">
        <f>(AJ483-AJ165)*100 &amp; "%"</f>
        <v>-42.86%</v>
      </c>
      <c r="AK486" s="22"/>
      <c r="AL486" s="22"/>
      <c r="AM486" s="22"/>
      <c r="AN486" s="22"/>
      <c r="AO486" s="20" t="str">
        <f>(AO483-AO165)*100 &amp; "%"</f>
        <v>-33.33%</v>
      </c>
      <c r="AP486" s="22"/>
      <c r="AQ486" s="22"/>
      <c r="AR486" s="22"/>
      <c r="AS486" s="22"/>
      <c r="AT486" s="20" t="str">
        <f>(AT483-AT165)*100 &amp; "%"</f>
        <v>0%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197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-25%</v>
      </c>
      <c r="Q487" s="22"/>
      <c r="R487" s="22"/>
      <c r="S487" s="22"/>
      <c r="T487" s="22"/>
      <c r="U487" s="20" t="str">
        <f>(U484-U106)*100 &amp; "%"</f>
        <v>0%</v>
      </c>
      <c r="V487" s="22"/>
      <c r="W487" s="22"/>
      <c r="X487" s="22"/>
      <c r="Y487" s="22"/>
      <c r="Z487" s="20" t="str">
        <f>(Z484-Z106)*100 &amp; "%"</f>
        <v>-26.92%</v>
      </c>
      <c r="AA487" s="22"/>
      <c r="AB487" s="22"/>
      <c r="AC487" s="22"/>
      <c r="AD487" s="22"/>
      <c r="AE487" s="20" t="str">
        <f>(AE484-AE106)*100 &amp; "%"</f>
        <v>-35.9%</v>
      </c>
      <c r="AF487" s="22"/>
      <c r="AG487" s="22"/>
      <c r="AH487" s="22"/>
      <c r="AI487" s="22"/>
      <c r="AJ487" s="20" t="str">
        <f>(AJ484-AJ106)*100 &amp; "%"</f>
        <v>8.33%</v>
      </c>
      <c r="AK487" s="22"/>
      <c r="AL487" s="22"/>
      <c r="AM487" s="22"/>
      <c r="AN487" s="22"/>
      <c r="AO487" s="20" t="str">
        <f>(AO484-AO106)*100 &amp; "%"</f>
        <v>12.5%</v>
      </c>
      <c r="AP487" s="22"/>
      <c r="AQ487" s="22"/>
      <c r="AR487" s="22"/>
      <c r="AS487" s="22"/>
      <c r="AT487" s="20" t="str">
        <f>(AT484-AT106)*100 &amp; "%"</f>
        <v>-6.67%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33.33%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0%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0%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199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-0.28569999999999995</v>
      </c>
      <c r="Q488" s="22"/>
      <c r="R488" s="22"/>
      <c r="S488" s="22"/>
      <c r="T488" s="22"/>
      <c r="U488" s="23">
        <f>U485-U166</f>
        <v>0.10419999999999996</v>
      </c>
      <c r="V488" s="22"/>
      <c r="W488" s="22"/>
      <c r="X488" s="22"/>
      <c r="Y488" s="22"/>
      <c r="Z488" s="23">
        <f>Z485-Z166</f>
        <v>0.11839999999999995</v>
      </c>
      <c r="AA488" s="22"/>
      <c r="AB488" s="22"/>
      <c r="AC488" s="22"/>
      <c r="AD488" s="22"/>
      <c r="AE488" s="23">
        <f>AE485-AE166</f>
        <v>7.3699999999999988E-2</v>
      </c>
      <c r="AF488" s="22"/>
      <c r="AG488" s="22"/>
      <c r="AH488" s="22"/>
      <c r="AI488" s="22"/>
      <c r="AJ488" s="23">
        <f>AJ485-AJ166</f>
        <v>0.26319999999999999</v>
      </c>
      <c r="AK488" s="22"/>
      <c r="AL488" s="22"/>
      <c r="AM488" s="22"/>
      <c r="AN488" s="22"/>
      <c r="AO488" s="23">
        <f>AO485-AO166</f>
        <v>0.27270000000000005</v>
      </c>
      <c r="AP488" s="22"/>
      <c r="AQ488" s="22"/>
      <c r="AR488" s="22"/>
      <c r="AS488" s="22"/>
      <c r="AT488" s="23">
        <f>AT485-AT166</f>
        <v>0.11109999999999998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0.25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0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0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193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192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194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195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191</v>
      </c>
      <c r="B495" s="22"/>
      <c r="C495" s="22"/>
      <c r="D495" s="22"/>
      <c r="E495" s="22"/>
      <c r="F495" s="22"/>
      <c r="G495" s="22"/>
      <c r="H495" s="20">
        <f t="shared" si="2486"/>
        <v>3</v>
      </c>
      <c r="I495" s="20">
        <v>3</v>
      </c>
      <c r="J495" s="20">
        <v>0</v>
      </c>
      <c r="K495" s="20" t="str">
        <f t="shared" si="2487"/>
        <v>100%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4</v>
      </c>
      <c r="S495" s="20">
        <v>4</v>
      </c>
      <c r="T495" s="20">
        <v>0</v>
      </c>
      <c r="U495" s="20" t="str">
        <f t="shared" si="2491"/>
        <v>100%</v>
      </c>
      <c r="V495" s="22"/>
      <c r="W495" s="20">
        <f t="shared" si="2492"/>
        <v>2</v>
      </c>
      <c r="X495" s="20">
        <v>2</v>
      </c>
      <c r="Y495" s="20">
        <v>0</v>
      </c>
      <c r="Z495" s="20" t="str">
        <f t="shared" si="2493"/>
        <v>100%</v>
      </c>
      <c r="AA495" s="22"/>
      <c r="AB495" s="20">
        <f t="shared" si="2494"/>
        <v>4</v>
      </c>
      <c r="AC495" s="20">
        <v>4</v>
      </c>
      <c r="AD495" s="20">
        <v>0</v>
      </c>
      <c r="AE495" s="20" t="str">
        <f t="shared" si="2495"/>
        <v>100%</v>
      </c>
      <c r="AF495" s="22"/>
      <c r="AG495" s="20">
        <f t="shared" si="2496"/>
        <v>2</v>
      </c>
      <c r="AH495" s="20">
        <v>2</v>
      </c>
      <c r="AI495" s="20">
        <v>0</v>
      </c>
      <c r="AJ495" s="20" t="str">
        <f t="shared" si="2497"/>
        <v>100%</v>
      </c>
      <c r="AK495" s="22"/>
      <c r="AL495" s="20">
        <f t="shared" si="2498"/>
        <v>4</v>
      </c>
      <c r="AM495" s="20">
        <v>4</v>
      </c>
      <c r="AN495" s="20">
        <v>0</v>
      </c>
      <c r="AO495" s="20" t="str">
        <f t="shared" si="2499"/>
        <v>100%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198</v>
      </c>
      <c r="B496" s="22"/>
      <c r="C496" s="22"/>
      <c r="D496" s="22"/>
      <c r="E496" s="22"/>
      <c r="F496" s="22"/>
      <c r="G496" s="22"/>
      <c r="H496" s="20">
        <f>SUM(H495,H494,H493,H492,H491)</f>
        <v>3</v>
      </c>
      <c r="I496" s="20">
        <f>SUM(I495,I494,I493,I492,I491)</f>
        <v>3</v>
      </c>
      <c r="J496" s="20">
        <f>SUM(J495,J494,J493,J492,J491)</f>
        <v>0</v>
      </c>
      <c r="K496" s="20" t="str">
        <f t="shared" si="2487"/>
        <v>100%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4</v>
      </c>
      <c r="S496" s="20">
        <f>SUM(S495,S494,S493,S492,S491)</f>
        <v>4</v>
      </c>
      <c r="T496" s="20">
        <f>SUM(T495,T494,T493,T492,T491)</f>
        <v>0</v>
      </c>
      <c r="U496" s="20" t="str">
        <f t="shared" si="2491"/>
        <v>100%</v>
      </c>
      <c r="V496" s="22"/>
      <c r="W496" s="20">
        <f>SUM(W495,W494,W493,W492,W491)</f>
        <v>2</v>
      </c>
      <c r="X496" s="20">
        <f>SUM(X495,X494,X493,X492,X491)</f>
        <v>2</v>
      </c>
      <c r="Y496" s="20">
        <f>SUM(Y495,Y494,Y493,Y492,Y491)</f>
        <v>0</v>
      </c>
      <c r="Z496" s="20" t="str">
        <f t="shared" si="2493"/>
        <v>100%</v>
      </c>
      <c r="AA496" s="22"/>
      <c r="AB496" s="20">
        <f>SUM(AB495,AB494,AB493,AB492,AB491)</f>
        <v>4</v>
      </c>
      <c r="AC496" s="20">
        <f>SUM(AC495,AC494,AC493,AC492,AC491)</f>
        <v>4</v>
      </c>
      <c r="AD496" s="20">
        <f>SUM(AD495,AD494,AD493,AD492,AD491)</f>
        <v>0</v>
      </c>
      <c r="AE496" s="20" t="str">
        <f t="shared" si="2495"/>
        <v>100%</v>
      </c>
      <c r="AF496" s="22"/>
      <c r="AG496" s="20">
        <f>SUM(AG495,AG494,AG493,AG492,AG491)</f>
        <v>2</v>
      </c>
      <c r="AH496" s="20">
        <f>SUM(AH495,AH494,AH493,AH492,AH491)</f>
        <v>2</v>
      </c>
      <c r="AI496" s="20">
        <f>SUM(AI495,AI494,AI493,AI492,AI491)</f>
        <v>0</v>
      </c>
      <c r="AJ496" s="20" t="str">
        <f t="shared" si="2497"/>
        <v>100%</v>
      </c>
      <c r="AK496" s="22"/>
      <c r="AL496" s="20">
        <f>SUM(AL495,AL494,AL493,AL492,AL491)</f>
        <v>4</v>
      </c>
      <c r="AM496" s="20">
        <f>SUM(AM495,AM494,AM493,AM492,AM491)</f>
        <v>4</v>
      </c>
      <c r="AN496" s="20">
        <f>SUM(AN495,AN494,AN493,AN492,AN491)</f>
        <v>0</v>
      </c>
      <c r="AO496" s="20" t="str">
        <f t="shared" si="2499"/>
        <v>100%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196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-25%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-16.67%</v>
      </c>
      <c r="AF497" s="22"/>
      <c r="AG497" s="22"/>
      <c r="AH497" s="22"/>
      <c r="AI497" s="22"/>
      <c r="AJ497" s="20" t="str">
        <f>(AJ494-AJ165)*100 &amp; "%"</f>
        <v>-42.86%</v>
      </c>
      <c r="AK497" s="22"/>
      <c r="AL497" s="22"/>
      <c r="AM497" s="22"/>
      <c r="AN497" s="22"/>
      <c r="AO497" s="20" t="str">
        <f>(AO494-AO165)*100 &amp; "%"</f>
        <v>-33.33%</v>
      </c>
      <c r="AP497" s="22"/>
      <c r="AQ497" s="22"/>
      <c r="AR497" s="22"/>
      <c r="AS497" s="22"/>
      <c r="AT497" s="20" t="str">
        <f>(AT494-AT165)*100 &amp; "%"</f>
        <v>0%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197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20%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33.33%</v>
      </c>
      <c r="V498" s="22"/>
      <c r="W498" s="22"/>
      <c r="X498" s="22"/>
      <c r="Y498" s="22"/>
      <c r="Z498" s="20" t="str">
        <f>(Z495-Z106)*100 &amp; "%"</f>
        <v>23.08%</v>
      </c>
      <c r="AA498" s="22"/>
      <c r="AB498" s="22"/>
      <c r="AC498" s="22"/>
      <c r="AD498" s="22"/>
      <c r="AE498" s="20" t="str">
        <f>(AE495-AE106)*100 &amp; "%"</f>
        <v>30.77%</v>
      </c>
      <c r="AF498" s="22"/>
      <c r="AG498" s="22"/>
      <c r="AH498" s="22"/>
      <c r="AI498" s="22"/>
      <c r="AJ498" s="20" t="str">
        <f>(AJ495-AJ106)*100 &amp; "%"</f>
        <v>8.33%</v>
      </c>
      <c r="AK498" s="22"/>
      <c r="AL498" s="22"/>
      <c r="AM498" s="22"/>
      <c r="AN498" s="22"/>
      <c r="AO498" s="20" t="str">
        <f>(AO495-AO106)*100 &amp; "%"</f>
        <v>12.5%</v>
      </c>
      <c r="AP498" s="22"/>
      <c r="AQ498" s="22"/>
      <c r="AR498" s="22"/>
      <c r="AS498" s="22"/>
      <c r="AT498" s="20" t="str">
        <f>(AT495-AT106)*100 &amp; "%"</f>
        <v>-40%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0%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0%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199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0.375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0.4375</v>
      </c>
      <c r="V499" s="22"/>
      <c r="W499" s="22"/>
      <c r="X499" s="22"/>
      <c r="Y499" s="22"/>
      <c r="Z499" s="23">
        <f>Z496-Z166</f>
        <v>0.36839999999999995</v>
      </c>
      <c r="AA499" s="22"/>
      <c r="AB499" s="22"/>
      <c r="AC499" s="22"/>
      <c r="AD499" s="22"/>
      <c r="AE499" s="23">
        <f>AE496-AE166</f>
        <v>0.47370000000000001</v>
      </c>
      <c r="AF499" s="22"/>
      <c r="AG499" s="22"/>
      <c r="AH499" s="22"/>
      <c r="AI499" s="22"/>
      <c r="AJ499" s="23">
        <f>AJ496-AJ166</f>
        <v>0.26319999999999999</v>
      </c>
      <c r="AK499" s="22"/>
      <c r="AL499" s="22"/>
      <c r="AM499" s="22"/>
      <c r="AN499" s="22"/>
      <c r="AO499" s="23">
        <f>AO496-AO166</f>
        <v>0.27270000000000005</v>
      </c>
      <c r="AP499" s="22"/>
      <c r="AQ499" s="22"/>
      <c r="AR499" s="22"/>
      <c r="AS499" s="22"/>
      <c r="AT499" s="23">
        <f>AT496-AT166</f>
        <v>-0.22220000000000001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0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0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193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192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194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0</v>
      </c>
      <c r="AH504" s="20">
        <v>0</v>
      </c>
      <c r="AI504" s="20">
        <v>0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0</v>
      </c>
      <c r="FR504" s="20">
        <v>0</v>
      </c>
      <c r="FS504" s="20">
        <v>0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195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0</v>
      </c>
      <c r="AH505" s="20">
        <v>0</v>
      </c>
      <c r="AI505" s="20">
        <v>0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0</v>
      </c>
      <c r="FR505" s="20">
        <v>0</v>
      </c>
      <c r="FS505" s="20">
        <v>0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191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0</v>
      </c>
      <c r="X506" s="20">
        <v>0</v>
      </c>
      <c r="Y506" s="20">
        <v>0</v>
      </c>
      <c r="Z506" s="20" t="str">
        <f t="shared" si="2563"/>
        <v>0%</v>
      </c>
      <c r="AA506" s="22"/>
      <c r="AB506" s="20">
        <f t="shared" si="2564"/>
        <v>0</v>
      </c>
      <c r="AC506" s="20">
        <v>0</v>
      </c>
      <c r="AD506" s="20">
        <v>0</v>
      </c>
      <c r="AE506" s="20" t="str">
        <f t="shared" si="2565"/>
        <v>0%</v>
      </c>
      <c r="AF506" s="22"/>
      <c r="AG506" s="20">
        <f t="shared" si="2566"/>
        <v>0</v>
      </c>
      <c r="AH506" s="20">
        <v>0</v>
      </c>
      <c r="AI506" s="20">
        <v>0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0</v>
      </c>
      <c r="FR506" s="20">
        <v>0</v>
      </c>
      <c r="FS506" s="20">
        <v>0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198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0</v>
      </c>
      <c r="X507" s="20">
        <f>SUM(X506,X505,X504,X503,X502)</f>
        <v>0</v>
      </c>
      <c r="Y507" s="20">
        <f>SUM(Y506,Y505,Y504,Y503,Y502)</f>
        <v>0</v>
      </c>
      <c r="Z507" s="20" t="str">
        <f t="shared" si="2563"/>
        <v>0%</v>
      </c>
      <c r="AA507" s="22"/>
      <c r="AB507" s="20">
        <f>SUM(AB506,AB505,AB504,AB503,AB502)</f>
        <v>0</v>
      </c>
      <c r="AC507" s="20">
        <f>SUM(AC506,AC505,AC504,AC503,AC502)</f>
        <v>0</v>
      </c>
      <c r="AD507" s="20">
        <f>SUM(AD506,AD505,AD504,AD503,AD502)</f>
        <v>0</v>
      </c>
      <c r="AE507" s="20" t="str">
        <f t="shared" si="2565"/>
        <v>0%</v>
      </c>
      <c r="AF507" s="22"/>
      <c r="AG507" s="20">
        <f>SUM(AG506,AG505,AG504,AG503,AG502)</f>
        <v>0</v>
      </c>
      <c r="AH507" s="20">
        <f>SUM(AH506,AH505,AH504,AH503,AH502)</f>
        <v>0</v>
      </c>
      <c r="AI507" s="20">
        <f>SUM(AI506,AI505,AI504,AI503,AI502)</f>
        <v>0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0</v>
      </c>
      <c r="FR507" s="20">
        <f>SUM(FR506,FR505,FR504,FR503,FR502)</f>
        <v>0</v>
      </c>
      <c r="FS507" s="20">
        <f>SUM(FS506,FS505,FS504,FS503,FS502)</f>
        <v>0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196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-25%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-16.67%</v>
      </c>
      <c r="AF508" s="22"/>
      <c r="AG508" s="22"/>
      <c r="AH508" s="22"/>
      <c r="AI508" s="22"/>
      <c r="AJ508" s="20" t="str">
        <f>(AJ505-AJ165)*100 &amp; "%"</f>
        <v>-42.86%</v>
      </c>
      <c r="AK508" s="22"/>
      <c r="AL508" s="22"/>
      <c r="AM508" s="22"/>
      <c r="AN508" s="22"/>
      <c r="AO508" s="20" t="str">
        <f>(AO505-AO165)*100 &amp; "%"</f>
        <v>-33.33%</v>
      </c>
      <c r="AP508" s="22"/>
      <c r="AQ508" s="22"/>
      <c r="AR508" s="22"/>
      <c r="AS508" s="22"/>
      <c r="AT508" s="20" t="str">
        <f>(AT505-AT165)*100 &amp; "%"</f>
        <v>0%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197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-66.67%</v>
      </c>
      <c r="V509" s="22"/>
      <c r="W509" s="22"/>
      <c r="X509" s="22"/>
      <c r="Y509" s="22"/>
      <c r="Z509" s="20" t="str">
        <f>(Z506-Z106)*100 &amp; "%"</f>
        <v>-76.92%</v>
      </c>
      <c r="AA509" s="22"/>
      <c r="AB509" s="22"/>
      <c r="AC509" s="22"/>
      <c r="AD509" s="22"/>
      <c r="AE509" s="20" t="str">
        <f>(AE506-AE106)*100 &amp; "%"</f>
        <v>-69.23%</v>
      </c>
      <c r="AF509" s="22"/>
      <c r="AG509" s="22"/>
      <c r="AH509" s="22"/>
      <c r="AI509" s="22"/>
      <c r="AJ509" s="20" t="str">
        <f>(AJ506-AJ106)*100 &amp; "%"</f>
        <v>-91.67%</v>
      </c>
      <c r="AK509" s="22"/>
      <c r="AL509" s="22"/>
      <c r="AM509" s="22"/>
      <c r="AN509" s="22"/>
      <c r="AO509" s="20" t="str">
        <f>(AO506-AO106)*100 &amp; "%"</f>
        <v>-87.5%</v>
      </c>
      <c r="AP509" s="22"/>
      <c r="AQ509" s="22"/>
      <c r="AR509" s="22"/>
      <c r="AS509" s="22"/>
      <c r="AT509" s="20" t="str">
        <f>(AT506-AT106)*100 &amp; "%"</f>
        <v>-40%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0%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199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-0.5625</v>
      </c>
      <c r="V510" s="22"/>
      <c r="W510" s="22"/>
      <c r="X510" s="22"/>
      <c r="Y510" s="22"/>
      <c r="Z510" s="23">
        <f>Z507-Z166</f>
        <v>-0.63160000000000005</v>
      </c>
      <c r="AA510" s="22"/>
      <c r="AB510" s="22"/>
      <c r="AC510" s="22"/>
      <c r="AD510" s="22"/>
      <c r="AE510" s="23">
        <f>AE507-AE166</f>
        <v>-0.52629999999999999</v>
      </c>
      <c r="AF510" s="22"/>
      <c r="AG510" s="22"/>
      <c r="AH510" s="22"/>
      <c r="AI510" s="22"/>
      <c r="AJ510" s="23">
        <f>AJ507-AJ166</f>
        <v>-0.73680000000000001</v>
      </c>
      <c r="AK510" s="22"/>
      <c r="AL510" s="22"/>
      <c r="AM510" s="22"/>
      <c r="AN510" s="22"/>
      <c r="AO510" s="23">
        <f>AO507-AO166</f>
        <v>-0.72729999999999995</v>
      </c>
      <c r="AP510" s="22"/>
      <c r="AQ510" s="22"/>
      <c r="AR510" s="22"/>
      <c r="AS510" s="22"/>
      <c r="AT510" s="23">
        <f>AT507-AT166</f>
        <v>-0.22220000000000001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0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193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192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194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195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191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198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196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-25%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-16.67%</v>
      </c>
      <c r="AF519" s="22"/>
      <c r="AG519" s="22"/>
      <c r="AH519" s="22"/>
      <c r="AI519" s="22"/>
      <c r="AJ519" s="20" t="str">
        <f>(AJ516-AJ165)*100 &amp; "%"</f>
        <v>-42.86%</v>
      </c>
      <c r="AK519" s="22"/>
      <c r="AL519" s="22"/>
      <c r="AM519" s="22"/>
      <c r="AN519" s="22"/>
      <c r="AO519" s="20" t="str">
        <f>(AO516-AO165)*100 &amp; "%"</f>
        <v>-33.33%</v>
      </c>
      <c r="AP519" s="22"/>
      <c r="AQ519" s="22"/>
      <c r="AR519" s="22"/>
      <c r="AS519" s="22"/>
      <c r="AT519" s="20" t="str">
        <f>(AT516-AT165)*100 &amp; "%"</f>
        <v>0%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197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-66.67%</v>
      </c>
      <c r="V520" s="22"/>
      <c r="W520" s="22"/>
      <c r="X520" s="22"/>
      <c r="Y520" s="22"/>
      <c r="Z520" s="20" t="str">
        <f>(Z517-Z106)*100 &amp; "%"</f>
        <v>-76.92%</v>
      </c>
      <c r="AA520" s="22"/>
      <c r="AB520" s="22"/>
      <c r="AC520" s="22"/>
      <c r="AD520" s="22"/>
      <c r="AE520" s="20" t="str">
        <f>(AE517-AE106)*100 &amp; "%"</f>
        <v>-69.23%</v>
      </c>
      <c r="AF520" s="22"/>
      <c r="AG520" s="22"/>
      <c r="AH520" s="22"/>
      <c r="AI520" s="22"/>
      <c r="AJ520" s="20" t="str">
        <f>(AJ517-AJ106)*100 &amp; "%"</f>
        <v>-91.67%</v>
      </c>
      <c r="AK520" s="22"/>
      <c r="AL520" s="22"/>
      <c r="AM520" s="22"/>
      <c r="AN520" s="22"/>
      <c r="AO520" s="20" t="str">
        <f>(AO517-AO106)*100 &amp; "%"</f>
        <v>-87.5%</v>
      </c>
      <c r="AP520" s="22"/>
      <c r="AQ520" s="22"/>
      <c r="AR520" s="22"/>
      <c r="AS520" s="22"/>
      <c r="AT520" s="20" t="str">
        <f>(AT517-AT106)*100 &amp; "%"</f>
        <v>-40%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0%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0%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199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-0.5625</v>
      </c>
      <c r="V521" s="22"/>
      <c r="W521" s="22"/>
      <c r="X521" s="22"/>
      <c r="Y521" s="22"/>
      <c r="Z521" s="23">
        <f>Z518-Z166</f>
        <v>-0.63160000000000005</v>
      </c>
      <c r="AA521" s="22"/>
      <c r="AB521" s="22"/>
      <c r="AC521" s="22"/>
      <c r="AD521" s="22"/>
      <c r="AE521" s="23">
        <f>AE518-AE166</f>
        <v>-0.52629999999999999</v>
      </c>
      <c r="AF521" s="22"/>
      <c r="AG521" s="22"/>
      <c r="AH521" s="22"/>
      <c r="AI521" s="22"/>
      <c r="AJ521" s="23">
        <f>AJ518-AJ166</f>
        <v>-0.73680000000000001</v>
      </c>
      <c r="AK521" s="22"/>
      <c r="AL521" s="22"/>
      <c r="AM521" s="22"/>
      <c r="AN521" s="22"/>
      <c r="AO521" s="23">
        <f>AO518-AO166</f>
        <v>-0.72729999999999995</v>
      </c>
      <c r="AP521" s="22"/>
      <c r="AQ521" s="22"/>
      <c r="AR521" s="22"/>
      <c r="AS521" s="22"/>
      <c r="AT521" s="23">
        <f>AT518-AT166</f>
        <v>-0.22220000000000001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0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0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193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192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194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195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191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198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196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-25%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-16.67%</v>
      </c>
      <c r="AF530" s="22"/>
      <c r="AG530" s="22"/>
      <c r="AH530" s="22"/>
      <c r="AI530" s="22"/>
      <c r="AJ530" s="20" t="str">
        <f>(AJ527-AJ165)*100 &amp; "%"</f>
        <v>-42.86%</v>
      </c>
      <c r="AK530" s="22"/>
      <c r="AL530" s="22"/>
      <c r="AM530" s="22"/>
      <c r="AN530" s="22"/>
      <c r="AO530" s="20" t="str">
        <f>(AO527-AO165)*100 &amp; "%"</f>
        <v>-33.33%</v>
      </c>
      <c r="AP530" s="22"/>
      <c r="AQ530" s="22"/>
      <c r="AR530" s="22"/>
      <c r="AS530" s="22"/>
      <c r="AT530" s="20" t="str">
        <f>(AT527-AT165)*100 &amp; "%"</f>
        <v>0%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197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-66.67%</v>
      </c>
      <c r="V531" s="22"/>
      <c r="W531" s="22"/>
      <c r="X531" s="22"/>
      <c r="Y531" s="22"/>
      <c r="Z531" s="20" t="str">
        <f>(Z528-Z106)*100 &amp; "%"</f>
        <v>-76.92%</v>
      </c>
      <c r="AA531" s="22"/>
      <c r="AB531" s="22"/>
      <c r="AC531" s="22"/>
      <c r="AD531" s="22"/>
      <c r="AE531" s="20" t="str">
        <f>(AE528-AE106)*100 &amp; "%"</f>
        <v>-69.23%</v>
      </c>
      <c r="AF531" s="22"/>
      <c r="AG531" s="22"/>
      <c r="AH531" s="22"/>
      <c r="AI531" s="22"/>
      <c r="AJ531" s="20" t="str">
        <f>(AJ528-AJ106)*100 &amp; "%"</f>
        <v>-91.67%</v>
      </c>
      <c r="AK531" s="22"/>
      <c r="AL531" s="22"/>
      <c r="AM531" s="22"/>
      <c r="AN531" s="22"/>
      <c r="AO531" s="20" t="str">
        <f>(AO528-AO106)*100 &amp; "%"</f>
        <v>-87.5%</v>
      </c>
      <c r="AP531" s="22"/>
      <c r="AQ531" s="22"/>
      <c r="AR531" s="22"/>
      <c r="AS531" s="22"/>
      <c r="AT531" s="20" t="str">
        <f>(AT528-AT106)*100 &amp; "%"</f>
        <v>-40%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0%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0%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199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-0.5625</v>
      </c>
      <c r="V532" s="22"/>
      <c r="W532" s="22"/>
      <c r="X532" s="22"/>
      <c r="Y532" s="22"/>
      <c r="Z532" s="23">
        <f>Z529-Z166</f>
        <v>-0.63160000000000005</v>
      </c>
      <c r="AA532" s="22"/>
      <c r="AB532" s="22"/>
      <c r="AC532" s="22"/>
      <c r="AD532" s="22"/>
      <c r="AE532" s="23">
        <f>AE529-AE166</f>
        <v>-0.52629999999999999</v>
      </c>
      <c r="AF532" s="22"/>
      <c r="AG532" s="22"/>
      <c r="AH532" s="22"/>
      <c r="AI532" s="22"/>
      <c r="AJ532" s="23">
        <f>AJ529-AJ166</f>
        <v>-0.73680000000000001</v>
      </c>
      <c r="AK532" s="22"/>
      <c r="AL532" s="22"/>
      <c r="AM532" s="22"/>
      <c r="AN532" s="22"/>
      <c r="AO532" s="23">
        <f>AO529-AO166</f>
        <v>-0.72729999999999995</v>
      </c>
      <c r="AP532" s="22"/>
      <c r="AQ532" s="22"/>
      <c r="AR532" s="22"/>
      <c r="AS532" s="22"/>
      <c r="AT532" s="23">
        <f>AT529-AT166</f>
        <v>-0.22220000000000001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0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0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193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192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0</v>
      </c>
      <c r="FC536" s="20">
        <v>0</v>
      </c>
      <c r="FD536" s="20">
        <v>0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194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0</v>
      </c>
      <c r="AM537" s="20">
        <v>0</v>
      </c>
      <c r="AN537" s="20">
        <v>0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195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0</v>
      </c>
      <c r="AM538" s="20">
        <v>0</v>
      </c>
      <c r="AN538" s="20">
        <v>0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0</v>
      </c>
      <c r="FC538" s="20">
        <v>0</v>
      </c>
      <c r="FD538" s="20">
        <v>0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191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0</v>
      </c>
      <c r="X539" s="20">
        <v>0</v>
      </c>
      <c r="Y539" s="20">
        <v>0</v>
      </c>
      <c r="Z539" s="20" t="str">
        <f t="shared" si="2773"/>
        <v>0%</v>
      </c>
      <c r="AA539" s="22"/>
      <c r="AB539" s="20">
        <f t="shared" si="2774"/>
        <v>0</v>
      </c>
      <c r="AC539" s="20">
        <v>0</v>
      </c>
      <c r="AD539" s="20">
        <v>0</v>
      </c>
      <c r="AE539" s="20" t="str">
        <f t="shared" si="2775"/>
        <v>0%</v>
      </c>
      <c r="AF539" s="22"/>
      <c r="AG539" s="20">
        <f t="shared" si="2776"/>
        <v>0</v>
      </c>
      <c r="AH539" s="20">
        <v>0</v>
      </c>
      <c r="AI539" s="20">
        <v>0</v>
      </c>
      <c r="AJ539" s="20" t="str">
        <f t="shared" si="2777"/>
        <v>0%</v>
      </c>
      <c r="AK539" s="22"/>
      <c r="AL539" s="20">
        <f t="shared" si="2778"/>
        <v>0</v>
      </c>
      <c r="AM539" s="20">
        <v>0</v>
      </c>
      <c r="AN539" s="20">
        <v>0</v>
      </c>
      <c r="AO539" s="20" t="str">
        <f t="shared" si="2779"/>
        <v>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0</v>
      </c>
      <c r="FC539" s="20">
        <v>0</v>
      </c>
      <c r="FD539" s="20">
        <v>0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198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0</v>
      </c>
      <c r="X540" s="20">
        <f>SUM(X539,X538,X537,X536,X535)</f>
        <v>0</v>
      </c>
      <c r="Y540" s="20">
        <f>SUM(Y539,Y538,Y537,Y536,Y535)</f>
        <v>0</v>
      </c>
      <c r="Z540" s="20" t="str">
        <f t="shared" si="2773"/>
        <v>0%</v>
      </c>
      <c r="AA540" s="22"/>
      <c r="AB540" s="20">
        <f>SUM(AB539,AB538,AB537,AB536,AB535)</f>
        <v>0</v>
      </c>
      <c r="AC540" s="20">
        <f>SUM(AC539,AC538,AC537,AC536,AC535)</f>
        <v>0</v>
      </c>
      <c r="AD540" s="20">
        <f>SUM(AD539,AD538,AD537,AD536,AD535)</f>
        <v>0</v>
      </c>
      <c r="AE540" s="20" t="str">
        <f t="shared" si="2775"/>
        <v>0%</v>
      </c>
      <c r="AF540" s="22"/>
      <c r="AG540" s="20">
        <f>SUM(AG539,AG538,AG537,AG536,AG535)</f>
        <v>0</v>
      </c>
      <c r="AH540" s="20">
        <f>SUM(AH539,AH538,AH537,AH536,AH535)</f>
        <v>0</v>
      </c>
      <c r="AI540" s="20">
        <f>SUM(AI539,AI538,AI537,AI536,AI535)</f>
        <v>0</v>
      </c>
      <c r="AJ540" s="20" t="str">
        <f t="shared" si="2777"/>
        <v>0%</v>
      </c>
      <c r="AK540" s="22"/>
      <c r="AL540" s="20">
        <f>SUM(AL539,AL538,AL537,AL536,AL535)</f>
        <v>0</v>
      </c>
      <c r="AM540" s="20">
        <f>SUM(AM539,AM538,AM537,AM536,AM535)</f>
        <v>0</v>
      </c>
      <c r="AN540" s="20">
        <f>SUM(AN539,AN538,AN537,AN536,AN535)</f>
        <v>0</v>
      </c>
      <c r="AO540" s="20" t="str">
        <f t="shared" si="2779"/>
        <v>0%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0</v>
      </c>
      <c r="FC540" s="20">
        <f>SUM(FC539,FC538,FC537,FC536,FC535)</f>
        <v>0</v>
      </c>
      <c r="FD540" s="20">
        <f>SUM(FD539,FD538,FD537,FD536,FD535)</f>
        <v>0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196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-25%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-16.67%</v>
      </c>
      <c r="AF541" s="22"/>
      <c r="AG541" s="22"/>
      <c r="AH541" s="22"/>
      <c r="AI541" s="22"/>
      <c r="AJ541" s="20" t="str">
        <f>(AJ538-AJ165)*100 &amp; "%"</f>
        <v>-42.86%</v>
      </c>
      <c r="AK541" s="22"/>
      <c r="AL541" s="22"/>
      <c r="AM541" s="22"/>
      <c r="AN541" s="22"/>
      <c r="AO541" s="20" t="str">
        <f>(AO538-AO165)*100 &amp; "%"</f>
        <v>-33.33%</v>
      </c>
      <c r="AP541" s="22"/>
      <c r="AQ541" s="22"/>
      <c r="AR541" s="22"/>
      <c r="AS541" s="22"/>
      <c r="AT541" s="20" t="str">
        <f>(AT538-AT165)*100 &amp; "%"</f>
        <v>0%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197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-66.67%</v>
      </c>
      <c r="V542" s="22"/>
      <c r="W542" s="22"/>
      <c r="X542" s="22"/>
      <c r="Y542" s="22"/>
      <c r="Z542" s="20" t="str">
        <f>(Z539-Z106)*100 &amp; "%"</f>
        <v>-76.92%</v>
      </c>
      <c r="AA542" s="22"/>
      <c r="AB542" s="22"/>
      <c r="AC542" s="22"/>
      <c r="AD542" s="22"/>
      <c r="AE542" s="20" t="str">
        <f>(AE539-AE106)*100 &amp; "%"</f>
        <v>-69.23%</v>
      </c>
      <c r="AF542" s="22"/>
      <c r="AG542" s="22"/>
      <c r="AH542" s="22"/>
      <c r="AI542" s="22"/>
      <c r="AJ542" s="20" t="str">
        <f>(AJ539-AJ106)*100 &amp; "%"</f>
        <v>-91.67%</v>
      </c>
      <c r="AK542" s="22"/>
      <c r="AL542" s="22"/>
      <c r="AM542" s="22"/>
      <c r="AN542" s="22"/>
      <c r="AO542" s="20" t="str">
        <f>(AO539-AO106)*100 &amp; "%"</f>
        <v>-87.5%</v>
      </c>
      <c r="AP542" s="22"/>
      <c r="AQ542" s="22"/>
      <c r="AR542" s="22"/>
      <c r="AS542" s="22"/>
      <c r="AT542" s="20" t="str">
        <f>(AT539-AT106)*100 &amp; "%"</f>
        <v>-40%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0%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199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-0.5625</v>
      </c>
      <c r="V543" s="22"/>
      <c r="W543" s="22"/>
      <c r="X543" s="22"/>
      <c r="Y543" s="22"/>
      <c r="Z543" s="23">
        <f>Z540-Z166</f>
        <v>-0.63160000000000005</v>
      </c>
      <c r="AA543" s="22"/>
      <c r="AB543" s="22"/>
      <c r="AC543" s="22"/>
      <c r="AD543" s="22"/>
      <c r="AE543" s="23">
        <f>AE540-AE166</f>
        <v>-0.52629999999999999</v>
      </c>
      <c r="AF543" s="22"/>
      <c r="AG543" s="22"/>
      <c r="AH543" s="22"/>
      <c r="AI543" s="22"/>
      <c r="AJ543" s="23">
        <f>AJ540-AJ166</f>
        <v>-0.73680000000000001</v>
      </c>
      <c r="AK543" s="22"/>
      <c r="AL543" s="22"/>
      <c r="AM543" s="22"/>
      <c r="AN543" s="22"/>
      <c r="AO543" s="23">
        <f>AO540-AO166</f>
        <v>-0.72729999999999995</v>
      </c>
      <c r="AP543" s="22"/>
      <c r="AQ543" s="22"/>
      <c r="AR543" s="22"/>
      <c r="AS543" s="22"/>
      <c r="AT543" s="23">
        <f>AT540-AT166</f>
        <v>-0.22220000000000001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0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193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192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194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195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191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198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196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-25%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-16.67%</v>
      </c>
      <c r="AF552" s="22"/>
      <c r="AG552" s="22"/>
      <c r="AH552" s="22"/>
      <c r="AI552" s="22"/>
      <c r="AJ552" s="20" t="str">
        <f>(AJ549-AJ165)*100 &amp; "%"</f>
        <v>-42.86%</v>
      </c>
      <c r="AK552" s="22"/>
      <c r="AL552" s="22"/>
      <c r="AM552" s="22"/>
      <c r="AN552" s="22"/>
      <c r="AO552" s="20" t="str">
        <f>(AO549-AO165)*100 &amp; "%"</f>
        <v>-33.33%</v>
      </c>
      <c r="AP552" s="22"/>
      <c r="AQ552" s="22"/>
      <c r="AR552" s="22"/>
      <c r="AS552" s="22"/>
      <c r="AT552" s="20" t="str">
        <f>(AT549-AT165)*100 &amp; "%"</f>
        <v>0%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197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-66.67%</v>
      </c>
      <c r="V553" s="22"/>
      <c r="W553" s="22"/>
      <c r="X553" s="22"/>
      <c r="Y553" s="22"/>
      <c r="Z553" s="20" t="str">
        <f>(Z550-Z106)*100 &amp; "%"</f>
        <v>-76.92%</v>
      </c>
      <c r="AA553" s="22"/>
      <c r="AB553" s="22"/>
      <c r="AC553" s="22"/>
      <c r="AD553" s="22"/>
      <c r="AE553" s="20" t="str">
        <f>(AE550-AE106)*100 &amp; "%"</f>
        <v>-69.23%</v>
      </c>
      <c r="AF553" s="22"/>
      <c r="AG553" s="22"/>
      <c r="AH553" s="22"/>
      <c r="AI553" s="22"/>
      <c r="AJ553" s="20" t="str">
        <f>(AJ550-AJ106)*100 &amp; "%"</f>
        <v>-91.67%</v>
      </c>
      <c r="AK553" s="22"/>
      <c r="AL553" s="22"/>
      <c r="AM553" s="22"/>
      <c r="AN553" s="22"/>
      <c r="AO553" s="20" t="str">
        <f>(AO550-AO106)*100 &amp; "%"</f>
        <v>-87.5%</v>
      </c>
      <c r="AP553" s="22"/>
      <c r="AQ553" s="22"/>
      <c r="AR553" s="22"/>
      <c r="AS553" s="22"/>
      <c r="AT553" s="20" t="str">
        <f>(AT550-AT106)*100 &amp; "%"</f>
        <v>-40%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0%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0%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199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-0.5625</v>
      </c>
      <c r="V554" s="22"/>
      <c r="W554" s="22"/>
      <c r="X554" s="22"/>
      <c r="Y554" s="22"/>
      <c r="Z554" s="23">
        <f>Z551-Z166</f>
        <v>-0.63160000000000005</v>
      </c>
      <c r="AA554" s="22"/>
      <c r="AB554" s="22"/>
      <c r="AC554" s="22"/>
      <c r="AD554" s="22"/>
      <c r="AE554" s="23">
        <f>AE551-AE166</f>
        <v>-0.52629999999999999</v>
      </c>
      <c r="AF554" s="22"/>
      <c r="AG554" s="22"/>
      <c r="AH554" s="22"/>
      <c r="AI554" s="22"/>
      <c r="AJ554" s="23">
        <f>AJ551-AJ166</f>
        <v>-0.73680000000000001</v>
      </c>
      <c r="AK554" s="22"/>
      <c r="AL554" s="22"/>
      <c r="AM554" s="22"/>
      <c r="AN554" s="22"/>
      <c r="AO554" s="23">
        <f>AO551-AO166</f>
        <v>-0.72729999999999995</v>
      </c>
      <c r="AP554" s="22"/>
      <c r="AQ554" s="22"/>
      <c r="AR554" s="22"/>
      <c r="AS554" s="22"/>
      <c r="AT554" s="23">
        <f>AT551-AT166</f>
        <v>-0.22220000000000001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0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0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193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192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1</v>
      </c>
      <c r="AC558" s="20">
        <v>0</v>
      </c>
      <c r="AD558" s="20">
        <v>1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1</v>
      </c>
      <c r="AW558" s="20">
        <v>0</v>
      </c>
      <c r="AX558" s="20">
        <v>1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194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195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1</v>
      </c>
      <c r="AC560" s="20">
        <v>0</v>
      </c>
      <c r="AD560" s="20">
        <v>1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1</v>
      </c>
      <c r="AW560" s="20">
        <v>0</v>
      </c>
      <c r="AX560" s="20">
        <v>1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191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198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2</v>
      </c>
      <c r="AC562" s="20">
        <f>SUM(AC561,AC560,AC559,AC558,AC557)</f>
        <v>0</v>
      </c>
      <c r="AD562" s="20">
        <f>SUM(AD561,AD560,AD559,AD558,AD557)</f>
        <v>2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2</v>
      </c>
      <c r="AW562" s="20">
        <f>SUM(AW561,AW560,AW559,AW558,AW557)</f>
        <v>0</v>
      </c>
      <c r="AX562" s="20">
        <f>SUM(AX561,AX560,AX559,AX558,AX557)</f>
        <v>2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196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-25%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-16.67%</v>
      </c>
      <c r="AF563" s="22"/>
      <c r="AG563" s="22"/>
      <c r="AH563" s="22"/>
      <c r="AI563" s="22"/>
      <c r="AJ563" s="20" t="str">
        <f>(AJ560-AJ165)*100 &amp; "%"</f>
        <v>-42.86%</v>
      </c>
      <c r="AK563" s="22"/>
      <c r="AL563" s="22"/>
      <c r="AM563" s="22"/>
      <c r="AN563" s="22"/>
      <c r="AO563" s="20" t="str">
        <f>(AO560-AO165)*100 &amp; "%"</f>
        <v>-33.33%</v>
      </c>
      <c r="AP563" s="22"/>
      <c r="AQ563" s="22"/>
      <c r="AR563" s="22"/>
      <c r="AS563" s="22"/>
      <c r="AT563" s="20" t="str">
        <f>(AT560-AT165)*100 &amp; "%"</f>
        <v>0%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197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-66.67%</v>
      </c>
      <c r="V564" s="22"/>
      <c r="W564" s="22"/>
      <c r="X564" s="22"/>
      <c r="Y564" s="22"/>
      <c r="Z564" s="20" t="str">
        <f>(Z561-Z106)*100 &amp; "%"</f>
        <v>-76.92%</v>
      </c>
      <c r="AA564" s="22"/>
      <c r="AB564" s="22"/>
      <c r="AC564" s="22"/>
      <c r="AD564" s="22"/>
      <c r="AE564" s="20" t="str">
        <f>(AE561-AE106)*100 &amp; "%"</f>
        <v>-69.23%</v>
      </c>
      <c r="AF564" s="22"/>
      <c r="AG564" s="22"/>
      <c r="AH564" s="22"/>
      <c r="AI564" s="22"/>
      <c r="AJ564" s="20" t="str">
        <f>(AJ561-AJ106)*100 &amp; "%"</f>
        <v>-91.67%</v>
      </c>
      <c r="AK564" s="22"/>
      <c r="AL564" s="22"/>
      <c r="AM564" s="22"/>
      <c r="AN564" s="22"/>
      <c r="AO564" s="20" t="str">
        <f>(AO561-AO106)*100 &amp; "%"</f>
        <v>-87.5%</v>
      </c>
      <c r="AP564" s="22"/>
      <c r="AQ564" s="22"/>
      <c r="AR564" s="22"/>
      <c r="AS564" s="22"/>
      <c r="AT564" s="20" t="str">
        <f>(AT561-AT106)*100 &amp; "%"</f>
        <v>-40%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0%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0%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199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-0.5625</v>
      </c>
      <c r="V565" s="22"/>
      <c r="W565" s="22"/>
      <c r="X565" s="22"/>
      <c r="Y565" s="22"/>
      <c r="Z565" s="23">
        <f>Z562-Z166</f>
        <v>-0.63160000000000005</v>
      </c>
      <c r="AA565" s="22"/>
      <c r="AB565" s="22"/>
      <c r="AC565" s="22"/>
      <c r="AD565" s="22"/>
      <c r="AE565" s="23">
        <f>AE562-AE166</f>
        <v>-0.52629999999999999</v>
      </c>
      <c r="AF565" s="22"/>
      <c r="AG565" s="22"/>
      <c r="AH565" s="22"/>
      <c r="AI565" s="22"/>
      <c r="AJ565" s="23">
        <f>AJ562-AJ166</f>
        <v>-0.73680000000000001</v>
      </c>
      <c r="AK565" s="22"/>
      <c r="AL565" s="22"/>
      <c r="AM565" s="22"/>
      <c r="AN565" s="22"/>
      <c r="AO565" s="23">
        <f>AO562-AO166</f>
        <v>-0.72729999999999995</v>
      </c>
      <c r="AP565" s="22"/>
      <c r="AQ565" s="22"/>
      <c r="AR565" s="22"/>
      <c r="AS565" s="22"/>
      <c r="AT565" s="23">
        <f>AT562-AT166</f>
        <v>-0.22220000000000001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0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0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2026-01-01T23:14:47Z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