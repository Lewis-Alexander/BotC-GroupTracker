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8_{056308A7-56F6-4597-8CC1-0CA7A3FA9F79}" xr6:coauthVersionLast="47" xr6:coauthVersionMax="47" xr10:uidLastSave="{00000000-0000-0000-0000-000000000000}"/>
  <bookViews>
    <workbookView minimized="1" xWindow="-31770" yWindow="2985" windowWidth="28800" windowHeight="15885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N562" i="1"/>
  <c r="FM562" i="1"/>
  <c r="FQ561" i="1"/>
  <c r="FT561" i="1" s="1"/>
  <c r="FL561" i="1"/>
  <c r="FL562" i="1" s="1"/>
  <c r="FO562" i="1" s="1"/>
  <c r="FO565" i="1" s="1"/>
  <c r="FQ560" i="1"/>
  <c r="FT560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L550" i="1"/>
  <c r="FO550" i="1" s="1"/>
  <c r="FO553" i="1" s="1"/>
  <c r="FQ549" i="1"/>
  <c r="FT549" i="1" s="1"/>
  <c r="FL549" i="1"/>
  <c r="FO549" i="1" s="1"/>
  <c r="FO552" i="1" s="1"/>
  <c r="FQ548" i="1"/>
  <c r="FQ551" i="1" s="1"/>
  <c r="FT551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B561" i="1"/>
  <c r="FB562" i="1" s="1"/>
  <c r="FE562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D562" i="1"/>
  <c r="AC562" i="1"/>
  <c r="AQ561" i="1"/>
  <c r="AQ562" i="1" s="1"/>
  <c r="AT562" i="1" s="1"/>
  <c r="AO561" i="1"/>
  <c r="AL561" i="1"/>
  <c r="AL562" i="1" s="1"/>
  <c r="AO562" i="1" s="1"/>
  <c r="AG561" i="1"/>
  <c r="AJ561" i="1" s="1"/>
  <c r="AB561" i="1"/>
  <c r="AB562" i="1" s="1"/>
  <c r="AE562" i="1" s="1"/>
  <c r="AQ560" i="1"/>
  <c r="AT560" i="1" s="1"/>
  <c r="AL560" i="1"/>
  <c r="AO560" i="1" s="1"/>
  <c r="AG560" i="1"/>
  <c r="AJ560" i="1" s="1"/>
  <c r="AB560" i="1"/>
  <c r="AE560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N551" i="1"/>
  <c r="AM551" i="1"/>
  <c r="AI551" i="1"/>
  <c r="AH551" i="1"/>
  <c r="AD551" i="1"/>
  <c r="AC551" i="1"/>
  <c r="AB551" i="1"/>
  <c r="AE551" i="1" s="1"/>
  <c r="AQ550" i="1"/>
  <c r="AT550" i="1" s="1"/>
  <c r="AL550" i="1"/>
  <c r="AO550" i="1" s="1"/>
  <c r="AG550" i="1"/>
  <c r="AJ550" i="1" s="1"/>
  <c r="AE550" i="1"/>
  <c r="AB550" i="1"/>
  <c r="AQ549" i="1"/>
  <c r="AT549" i="1" s="1"/>
  <c r="AL549" i="1"/>
  <c r="AO549" i="1" s="1"/>
  <c r="AG549" i="1"/>
  <c r="AJ549" i="1" s="1"/>
  <c r="AB549" i="1"/>
  <c r="AE549" i="1" s="1"/>
  <c r="AQ548" i="1"/>
  <c r="AT548" i="1" s="1"/>
  <c r="AO548" i="1"/>
  <c r="AL548" i="1"/>
  <c r="AG548" i="1"/>
  <c r="AG551" i="1" s="1"/>
  <c r="AJ551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W560" i="1"/>
  <c r="Z560" i="1" s="1"/>
  <c r="Z559" i="1"/>
  <c r="W559" i="1"/>
  <c r="Z558" i="1"/>
  <c r="W558" i="1"/>
  <c r="W557" i="1"/>
  <c r="Z557" i="1" s="1"/>
  <c r="Y551" i="1"/>
  <c r="X551" i="1"/>
  <c r="W551" i="1"/>
  <c r="Z551" i="1" s="1"/>
  <c r="W550" i="1"/>
  <c r="Z550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R560" i="1"/>
  <c r="U560" i="1" s="1"/>
  <c r="U559" i="1"/>
  <c r="R559" i="1"/>
  <c r="R558" i="1"/>
  <c r="U558" i="1" s="1"/>
  <c r="R557" i="1"/>
  <c r="U557" i="1" s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Q527" i="1"/>
  <c r="FT527" i="1" s="1"/>
  <c r="FT526" i="1"/>
  <c r="FQ526" i="1"/>
  <c r="FQ525" i="1"/>
  <c r="FT525" i="1" s="1"/>
  <c r="FQ524" i="1"/>
  <c r="FT524" i="1" s="1"/>
  <c r="FS518" i="1"/>
  <c r="FR518" i="1"/>
  <c r="FT517" i="1"/>
  <c r="FQ517" i="1"/>
  <c r="FQ516" i="1"/>
  <c r="FT516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EZ539" i="1"/>
  <c r="EZ542" i="1" s="1"/>
  <c r="EW539" i="1"/>
  <c r="ER539" i="1"/>
  <c r="EU539" i="1" s="1"/>
  <c r="EU542" i="1" s="1"/>
  <c r="FB538" i="1"/>
  <c r="FE538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B527" i="1"/>
  <c r="FB529" i="1" s="1"/>
  <c r="FE529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S540" i="1"/>
  <c r="AR540" i="1"/>
  <c r="AN540" i="1"/>
  <c r="AM540" i="1"/>
  <c r="AI540" i="1"/>
  <c r="AH540" i="1"/>
  <c r="AD540" i="1"/>
  <c r="AC540" i="1"/>
  <c r="AQ539" i="1"/>
  <c r="AQ540" i="1" s="1"/>
  <c r="AT540" i="1" s="1"/>
  <c r="AL539" i="1"/>
  <c r="AG539" i="1"/>
  <c r="AJ539" i="1" s="1"/>
  <c r="AB539" i="1"/>
  <c r="AB540" i="1" s="1"/>
  <c r="AE540" i="1" s="1"/>
  <c r="AQ538" i="1"/>
  <c r="AT538" i="1" s="1"/>
  <c r="AL538" i="1"/>
  <c r="AO538" i="1" s="1"/>
  <c r="AG538" i="1"/>
  <c r="AJ538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N529" i="1"/>
  <c r="AM529" i="1"/>
  <c r="AI529" i="1"/>
  <c r="AH529" i="1"/>
  <c r="AD529" i="1"/>
  <c r="AC529" i="1"/>
  <c r="AQ528" i="1"/>
  <c r="AT528" i="1" s="1"/>
  <c r="AO528" i="1"/>
  <c r="AL528" i="1"/>
  <c r="AL529" i="1" s="1"/>
  <c r="AO529" i="1" s="1"/>
  <c r="AG528" i="1"/>
  <c r="AJ528" i="1" s="1"/>
  <c r="AE528" i="1"/>
  <c r="AB528" i="1"/>
  <c r="AQ527" i="1"/>
  <c r="AT527" i="1" s="1"/>
  <c r="AL527" i="1"/>
  <c r="AO527" i="1" s="1"/>
  <c r="AG527" i="1"/>
  <c r="AJ527" i="1" s="1"/>
  <c r="AE527" i="1"/>
  <c r="AB527" i="1"/>
  <c r="AQ526" i="1"/>
  <c r="AT526" i="1" s="1"/>
  <c r="AO526" i="1"/>
  <c r="AL526" i="1"/>
  <c r="AG526" i="1"/>
  <c r="AG529" i="1" s="1"/>
  <c r="AJ529" i="1" s="1"/>
  <c r="AB526" i="1"/>
  <c r="AB529" i="1" s="1"/>
  <c r="AE529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L517" i="1"/>
  <c r="AO517" i="1" s="1"/>
  <c r="AG517" i="1"/>
  <c r="AJ517" i="1" s="1"/>
  <c r="AE517" i="1"/>
  <c r="AB517" i="1"/>
  <c r="AQ516" i="1"/>
  <c r="AT516" i="1" s="1"/>
  <c r="AO516" i="1"/>
  <c r="AL516" i="1"/>
  <c r="AG516" i="1"/>
  <c r="AJ516" i="1" s="1"/>
  <c r="AB516" i="1"/>
  <c r="AB518" i="1" s="1"/>
  <c r="AE518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W539" i="1"/>
  <c r="W540" i="1" s="1"/>
  <c r="Z540" i="1" s="1"/>
  <c r="W538" i="1"/>
  <c r="Z538" i="1" s="1"/>
  <c r="Z537" i="1"/>
  <c r="W537" i="1"/>
  <c r="W536" i="1"/>
  <c r="Z536" i="1" s="1"/>
  <c r="W535" i="1"/>
  <c r="Z535" i="1" s="1"/>
  <c r="Y529" i="1"/>
  <c r="X529" i="1"/>
  <c r="W529" i="1"/>
  <c r="Z529" i="1" s="1"/>
  <c r="Z528" i="1"/>
  <c r="W528" i="1"/>
  <c r="W527" i="1"/>
  <c r="Z527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16" i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R538" i="1"/>
  <c r="U538" i="1" s="1"/>
  <c r="U537" i="1"/>
  <c r="R537" i="1"/>
  <c r="R536" i="1"/>
  <c r="U536" i="1" s="1"/>
  <c r="R535" i="1"/>
  <c r="U535" i="1" s="1"/>
  <c r="T529" i="1"/>
  <c r="S529" i="1"/>
  <c r="R529" i="1"/>
  <c r="U529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R516" i="1"/>
  <c r="U516" i="1" s="1"/>
  <c r="R515" i="1"/>
  <c r="R518" i="1" s="1"/>
  <c r="U518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6" i="1"/>
  <c r="FT506" i="1" s="1"/>
  <c r="FQ505" i="1"/>
  <c r="FT505" i="1" s="1"/>
  <c r="FT504" i="1"/>
  <c r="FQ504" i="1"/>
  <c r="FQ503" i="1"/>
  <c r="FT503" i="1" s="1"/>
  <c r="FQ502" i="1"/>
  <c r="FT502" i="1" s="1"/>
  <c r="FS496" i="1"/>
  <c r="FR496" i="1"/>
  <c r="FQ496" i="1"/>
  <c r="FT496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Q483" i="1"/>
  <c r="FT483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B494" i="1"/>
  <c r="FE494" i="1" s="1"/>
  <c r="FE493" i="1"/>
  <c r="FB493" i="1"/>
  <c r="FB492" i="1"/>
  <c r="FE492" i="1" s="1"/>
  <c r="FB491" i="1"/>
  <c r="FE491" i="1" s="1"/>
  <c r="FE485" i="1"/>
  <c r="FD485" i="1"/>
  <c r="FC485" i="1"/>
  <c r="FB485" i="1"/>
  <c r="FE484" i="1"/>
  <c r="FB484" i="1"/>
  <c r="FB483" i="1"/>
  <c r="FE483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S507" i="1"/>
  <c r="AR507" i="1"/>
  <c r="AN507" i="1"/>
  <c r="AM507" i="1"/>
  <c r="AI507" i="1"/>
  <c r="AH507" i="1"/>
  <c r="AD507" i="1"/>
  <c r="AC507" i="1"/>
  <c r="AT506" i="1"/>
  <c r="AQ506" i="1"/>
  <c r="AQ507" i="1" s="1"/>
  <c r="AT507" i="1" s="1"/>
  <c r="AL506" i="1"/>
  <c r="AO506" i="1" s="1"/>
  <c r="AG506" i="1"/>
  <c r="AJ506" i="1" s="1"/>
  <c r="AB506" i="1"/>
  <c r="AB507" i="1" s="1"/>
  <c r="AE507" i="1" s="1"/>
  <c r="AQ505" i="1"/>
  <c r="AT505" i="1" s="1"/>
  <c r="AO505" i="1"/>
  <c r="AL505" i="1"/>
  <c r="AJ505" i="1"/>
  <c r="AG505" i="1"/>
  <c r="AB505" i="1"/>
  <c r="AE505" i="1" s="1"/>
  <c r="AQ504" i="1"/>
  <c r="AT504" i="1" s="1"/>
  <c r="AO504" i="1"/>
  <c r="AL504" i="1"/>
  <c r="AL507" i="1" s="1"/>
  <c r="AO507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S496" i="1"/>
  <c r="AR496" i="1"/>
  <c r="AN496" i="1"/>
  <c r="AM496" i="1"/>
  <c r="AI496" i="1"/>
  <c r="AH496" i="1"/>
  <c r="AD496" i="1"/>
  <c r="AC496" i="1"/>
  <c r="AQ495" i="1"/>
  <c r="AT495" i="1" s="1"/>
  <c r="AL495" i="1"/>
  <c r="AL496" i="1" s="1"/>
  <c r="AO496" i="1" s="1"/>
  <c r="AG495" i="1"/>
  <c r="AJ495" i="1" s="1"/>
  <c r="AB495" i="1"/>
  <c r="AE495" i="1" s="1"/>
  <c r="AQ494" i="1"/>
  <c r="AT494" i="1" s="1"/>
  <c r="AO494" i="1"/>
  <c r="AL494" i="1"/>
  <c r="AG494" i="1"/>
  <c r="AJ494" i="1" s="1"/>
  <c r="AE494" i="1"/>
  <c r="AB494" i="1"/>
  <c r="AT493" i="1"/>
  <c r="AQ493" i="1"/>
  <c r="AL493" i="1"/>
  <c r="AO493" i="1" s="1"/>
  <c r="AG493" i="1"/>
  <c r="AG496" i="1" s="1"/>
  <c r="AJ496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L484" i="1"/>
  <c r="AL485" i="1" s="1"/>
  <c r="AG484" i="1"/>
  <c r="AJ484" i="1" s="1"/>
  <c r="AB484" i="1"/>
  <c r="AE484" i="1" s="1"/>
  <c r="AT483" i="1"/>
  <c r="AQ483" i="1"/>
  <c r="AL483" i="1"/>
  <c r="AO483" i="1" s="1"/>
  <c r="AG483" i="1"/>
  <c r="AJ483" i="1" s="1"/>
  <c r="AB483" i="1"/>
  <c r="AE483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W505" i="1"/>
  <c r="Z505" i="1" s="1"/>
  <c r="Z504" i="1"/>
  <c r="W504" i="1"/>
  <c r="W503" i="1"/>
  <c r="Z503" i="1" s="1"/>
  <c r="W502" i="1"/>
  <c r="Z502" i="1" s="1"/>
  <c r="Y496" i="1"/>
  <c r="X496" i="1"/>
  <c r="W495" i="1"/>
  <c r="W496" i="1" s="1"/>
  <c r="Z496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W482" i="1"/>
  <c r="Z482" i="1" s="1"/>
  <c r="Z481" i="1"/>
  <c r="W481" i="1"/>
  <c r="W480" i="1"/>
  <c r="Z480" i="1" s="1"/>
  <c r="T507" i="1"/>
  <c r="S507" i="1"/>
  <c r="R506" i="1"/>
  <c r="U506" i="1" s="1"/>
  <c r="R505" i="1"/>
  <c r="R507" i="1" s="1"/>
  <c r="U507" i="1" s="1"/>
  <c r="U504" i="1"/>
  <c r="R504" i="1"/>
  <c r="R503" i="1"/>
  <c r="U503" i="1" s="1"/>
  <c r="R502" i="1"/>
  <c r="U502" i="1" s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R483" i="1"/>
  <c r="U483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Q472" i="1"/>
  <c r="FT472" i="1" s="1"/>
  <c r="FT471" i="1"/>
  <c r="FQ471" i="1"/>
  <c r="FQ470" i="1"/>
  <c r="FT470" i="1" s="1"/>
  <c r="FQ469" i="1"/>
  <c r="FT469" i="1" s="1"/>
  <c r="FS463" i="1"/>
  <c r="FR463" i="1"/>
  <c r="FQ463" i="1"/>
  <c r="FT463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0" i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B472" i="1"/>
  <c r="FB474" i="1" s="1"/>
  <c r="FE474" i="1" s="1"/>
  <c r="FE471" i="1"/>
  <c r="FB471" i="1"/>
  <c r="FB470" i="1"/>
  <c r="FE470" i="1" s="1"/>
  <c r="FB469" i="1"/>
  <c r="FE469" i="1" s="1"/>
  <c r="FD463" i="1"/>
  <c r="FC463" i="1"/>
  <c r="FB463" i="1"/>
  <c r="FE463" i="1" s="1"/>
  <c r="FE462" i="1"/>
  <c r="FB462" i="1"/>
  <c r="FE461" i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B450" i="1"/>
  <c r="FE450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S474" i="1"/>
  <c r="AR474" i="1"/>
  <c r="AN474" i="1"/>
  <c r="AM474" i="1"/>
  <c r="AI474" i="1"/>
  <c r="AH474" i="1"/>
  <c r="AG474" i="1"/>
  <c r="AJ474" i="1" s="1"/>
  <c r="AD474" i="1"/>
  <c r="AC474" i="1"/>
  <c r="AQ473" i="1"/>
  <c r="AT473" i="1" s="1"/>
  <c r="AO473" i="1"/>
  <c r="AL473" i="1"/>
  <c r="AL474" i="1" s="1"/>
  <c r="AO474" i="1" s="1"/>
  <c r="AG473" i="1"/>
  <c r="AJ473" i="1" s="1"/>
  <c r="AB473" i="1"/>
  <c r="AB474" i="1" s="1"/>
  <c r="AE474" i="1" s="1"/>
  <c r="AQ472" i="1"/>
  <c r="AT472" i="1" s="1"/>
  <c r="AL472" i="1"/>
  <c r="AO472" i="1" s="1"/>
  <c r="AG472" i="1"/>
  <c r="AJ472" i="1" s="1"/>
  <c r="AE472" i="1"/>
  <c r="AB472" i="1"/>
  <c r="AQ471" i="1"/>
  <c r="AQ474" i="1" s="1"/>
  <c r="AT474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N463" i="1"/>
  <c r="AM463" i="1"/>
  <c r="AI463" i="1"/>
  <c r="AH463" i="1"/>
  <c r="AD463" i="1"/>
  <c r="AC463" i="1"/>
  <c r="AB463" i="1"/>
  <c r="AE463" i="1" s="1"/>
  <c r="AQ462" i="1"/>
  <c r="AT462" i="1" s="1"/>
  <c r="AL462" i="1"/>
  <c r="AO462" i="1" s="1"/>
  <c r="AG462" i="1"/>
  <c r="AJ462" i="1" s="1"/>
  <c r="AE462" i="1"/>
  <c r="AB462" i="1"/>
  <c r="AQ461" i="1"/>
  <c r="AT461" i="1" s="1"/>
  <c r="AL461" i="1"/>
  <c r="AO461" i="1" s="1"/>
  <c r="AG461" i="1"/>
  <c r="AJ461" i="1" s="1"/>
  <c r="AB461" i="1"/>
  <c r="AE461" i="1" s="1"/>
  <c r="AQ460" i="1"/>
  <c r="AT460" i="1" s="1"/>
  <c r="AO460" i="1"/>
  <c r="AL460" i="1"/>
  <c r="AG460" i="1"/>
  <c r="AG463" i="1" s="1"/>
  <c r="AJ463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B451" i="1"/>
  <c r="AE451" i="1" s="1"/>
  <c r="AQ450" i="1"/>
  <c r="AT450" i="1" s="1"/>
  <c r="AL450" i="1"/>
  <c r="AO450" i="1" s="1"/>
  <c r="AG450" i="1"/>
  <c r="AB450" i="1"/>
  <c r="AE450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W472" i="1"/>
  <c r="Z472" i="1" s="1"/>
  <c r="Z471" i="1"/>
  <c r="W471" i="1"/>
  <c r="W470" i="1"/>
  <c r="Z470" i="1" s="1"/>
  <c r="Z469" i="1"/>
  <c r="W469" i="1"/>
  <c r="Y463" i="1"/>
  <c r="X463" i="1"/>
  <c r="W463" i="1"/>
  <c r="Z463" i="1" s="1"/>
  <c r="Z462" i="1"/>
  <c r="W462" i="1"/>
  <c r="W461" i="1"/>
  <c r="Z461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W450" i="1"/>
  <c r="Z450" i="1" s="1"/>
  <c r="W449" i="1"/>
  <c r="Z449" i="1" s="1"/>
  <c r="Z448" i="1"/>
  <c r="W448" i="1"/>
  <c r="W447" i="1"/>
  <c r="Z447" i="1" s="1"/>
  <c r="T474" i="1"/>
  <c r="S474" i="1"/>
  <c r="R474" i="1"/>
  <c r="U474" i="1" s="1"/>
  <c r="R473" i="1"/>
  <c r="U473" i="1" s="1"/>
  <c r="R472" i="1"/>
  <c r="U472" i="1" s="1"/>
  <c r="U471" i="1"/>
  <c r="R471" i="1"/>
  <c r="R470" i="1"/>
  <c r="U470" i="1" s="1"/>
  <c r="R469" i="1"/>
  <c r="U469" i="1" s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R450" i="1"/>
  <c r="U450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GD439" i="1"/>
  <c r="GD442" i="1" s="1"/>
  <c r="GA439" i="1"/>
  <c r="FV439" i="1"/>
  <c r="FV441" i="1" s="1"/>
  <c r="FY441" i="1" s="1"/>
  <c r="FY444" i="1" s="1"/>
  <c r="FQ439" i="1"/>
  <c r="FT439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L440" i="1"/>
  <c r="AO440" i="1" s="1"/>
  <c r="AG440" i="1"/>
  <c r="AJ440" i="1" s="1"/>
  <c r="AE440" i="1"/>
  <c r="AB440" i="1"/>
  <c r="AB441" i="1" s="1"/>
  <c r="AE441" i="1" s="1"/>
  <c r="AQ439" i="1"/>
  <c r="AT439" i="1" s="1"/>
  <c r="AL439" i="1"/>
  <c r="AO439" i="1" s="1"/>
  <c r="AG439" i="1"/>
  <c r="AJ439" i="1" s="1"/>
  <c r="AB439" i="1"/>
  <c r="AE439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L429" i="1"/>
  <c r="AO429" i="1" s="1"/>
  <c r="AG429" i="1"/>
  <c r="AJ429" i="1" s="1"/>
  <c r="AB429" i="1"/>
  <c r="AE429" i="1" s="1"/>
  <c r="AQ428" i="1"/>
  <c r="AT428" i="1" s="1"/>
  <c r="AO428" i="1"/>
  <c r="AL428" i="1"/>
  <c r="AG428" i="1"/>
  <c r="AJ428" i="1" s="1"/>
  <c r="AB428" i="1"/>
  <c r="AE428" i="1" s="1"/>
  <c r="AQ427" i="1"/>
  <c r="AT427" i="1" s="1"/>
  <c r="AL427" i="1"/>
  <c r="AO427" i="1" s="1"/>
  <c r="AG427" i="1"/>
  <c r="AG430" i="1" s="1"/>
  <c r="AJ430" i="1" s="1"/>
  <c r="AE427" i="1"/>
  <c r="AB427" i="1"/>
  <c r="AB430" i="1" s="1"/>
  <c r="AE430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W440" i="1"/>
  <c r="Z440" i="1" s="1"/>
  <c r="W439" i="1"/>
  <c r="Z439" i="1" s="1"/>
  <c r="Z438" i="1"/>
  <c r="W438" i="1"/>
  <c r="W437" i="1"/>
  <c r="Z437" i="1" s="1"/>
  <c r="W436" i="1"/>
  <c r="Z436" i="1" s="1"/>
  <c r="Y430" i="1"/>
  <c r="X430" i="1"/>
  <c r="W430" i="1"/>
  <c r="Z430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R439" i="1"/>
  <c r="U439" i="1" s="1"/>
  <c r="U438" i="1"/>
  <c r="R438" i="1"/>
  <c r="R437" i="1"/>
  <c r="U437" i="1" s="1"/>
  <c r="R436" i="1"/>
  <c r="U436" i="1" s="1"/>
  <c r="T430" i="1"/>
  <c r="S430" i="1"/>
  <c r="R430" i="1"/>
  <c r="U430" i="1" s="1"/>
  <c r="R429" i="1"/>
  <c r="U429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L418" i="1"/>
  <c r="AO418" i="1" s="1"/>
  <c r="AG418" i="1"/>
  <c r="AJ418" i="1" s="1"/>
  <c r="AB418" i="1"/>
  <c r="AB419" i="1" s="1"/>
  <c r="AE419" i="1" s="1"/>
  <c r="AQ417" i="1"/>
  <c r="AT417" i="1" s="1"/>
  <c r="AL417" i="1"/>
  <c r="AO417" i="1" s="1"/>
  <c r="AG417" i="1"/>
  <c r="AJ417" i="1" s="1"/>
  <c r="AB417" i="1"/>
  <c r="AE417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W417" i="1"/>
  <c r="Z417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L407" i="1"/>
  <c r="FO407" i="1" s="1"/>
  <c r="FO410" i="1" s="1"/>
  <c r="FG407" i="1"/>
  <c r="FJ407" i="1" s="1"/>
  <c r="FJ410" i="1" s="1"/>
  <c r="FB407" i="1"/>
  <c r="FB408" i="1" s="1"/>
  <c r="FE408" i="1" s="1"/>
  <c r="FQ406" i="1"/>
  <c r="FT406" i="1" s="1"/>
  <c r="FL406" i="1"/>
  <c r="FO406" i="1" s="1"/>
  <c r="FO409" i="1" s="1"/>
  <c r="FG406" i="1"/>
  <c r="FJ406" i="1" s="1"/>
  <c r="FJ409" i="1" s="1"/>
  <c r="FB406" i="1"/>
  <c r="FE406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D408" i="1"/>
  <c r="AC408" i="1"/>
  <c r="AQ407" i="1"/>
  <c r="AQ408" i="1" s="1"/>
  <c r="AT408" i="1" s="1"/>
  <c r="AL407" i="1"/>
  <c r="AO407" i="1" s="1"/>
  <c r="AJ407" i="1"/>
  <c r="AG407" i="1"/>
  <c r="AB407" i="1"/>
  <c r="AB408" i="1" s="1"/>
  <c r="AE408" i="1" s="1"/>
  <c r="AQ406" i="1"/>
  <c r="AT406" i="1" s="1"/>
  <c r="AL406" i="1"/>
  <c r="AO406" i="1" s="1"/>
  <c r="AG406" i="1"/>
  <c r="AJ406" i="1" s="1"/>
  <c r="AB406" i="1"/>
  <c r="AE406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W406" i="1"/>
  <c r="Z406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R406" i="1"/>
  <c r="U406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GD395" i="1"/>
  <c r="GD398" i="1" s="1"/>
  <c r="GA395" i="1"/>
  <c r="FY395" i="1"/>
  <c r="FY398" i="1" s="1"/>
  <c r="FV395" i="1"/>
  <c r="FT395" i="1"/>
  <c r="FQ395" i="1"/>
  <c r="FQ397" i="1" s="1"/>
  <c r="FT397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L396" i="1"/>
  <c r="AO396" i="1" s="1"/>
  <c r="AJ396" i="1"/>
  <c r="AG396" i="1"/>
  <c r="AG397" i="1" s="1"/>
  <c r="AJ397" i="1" s="1"/>
  <c r="AE396" i="1"/>
  <c r="AB396" i="1"/>
  <c r="AB397" i="1" s="1"/>
  <c r="AE397" i="1" s="1"/>
  <c r="AQ395" i="1"/>
  <c r="AT395" i="1" s="1"/>
  <c r="AL395" i="1"/>
  <c r="AO395" i="1" s="1"/>
  <c r="AG395" i="1"/>
  <c r="AJ395" i="1" s="1"/>
  <c r="AB395" i="1"/>
  <c r="AE395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W395" i="1"/>
  <c r="Z395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R395" i="1"/>
  <c r="U395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D386" i="1"/>
  <c r="AC386" i="1"/>
  <c r="AQ385" i="1"/>
  <c r="AQ386" i="1" s="1"/>
  <c r="AT386" i="1" s="1"/>
  <c r="AL385" i="1"/>
  <c r="AO385" i="1" s="1"/>
  <c r="AG385" i="1"/>
  <c r="AJ385" i="1" s="1"/>
  <c r="AB385" i="1"/>
  <c r="AB386" i="1" s="1"/>
  <c r="AE386" i="1" s="1"/>
  <c r="AQ384" i="1"/>
  <c r="AT384" i="1" s="1"/>
  <c r="AL384" i="1"/>
  <c r="AO384" i="1" s="1"/>
  <c r="AG384" i="1"/>
  <c r="AJ384" i="1" s="1"/>
  <c r="AB384" i="1"/>
  <c r="AE384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W384" i="1"/>
  <c r="Z384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R384" i="1"/>
  <c r="U384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B374" i="1"/>
  <c r="FB375" i="1" s="1"/>
  <c r="FE375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S375" i="1"/>
  <c r="AR375" i="1"/>
  <c r="AN375" i="1"/>
  <c r="AM375" i="1"/>
  <c r="AJ375" i="1"/>
  <c r="AI375" i="1"/>
  <c r="AH375" i="1"/>
  <c r="AG375" i="1"/>
  <c r="AD375" i="1"/>
  <c r="AC375" i="1"/>
  <c r="AQ374" i="1"/>
  <c r="AQ375" i="1" s="1"/>
  <c r="AT375" i="1" s="1"/>
  <c r="AO374" i="1"/>
  <c r="AL374" i="1"/>
  <c r="AL375" i="1" s="1"/>
  <c r="AO375" i="1" s="1"/>
  <c r="AJ374" i="1"/>
  <c r="AG374" i="1"/>
  <c r="AB374" i="1"/>
  <c r="AB375" i="1" s="1"/>
  <c r="AE375" i="1" s="1"/>
  <c r="AQ373" i="1"/>
  <c r="AT373" i="1" s="1"/>
  <c r="AL373" i="1"/>
  <c r="AO373" i="1" s="1"/>
  <c r="AG373" i="1"/>
  <c r="AJ373" i="1" s="1"/>
  <c r="AE373" i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W374" i="1"/>
  <c r="Z374" i="1" s="1"/>
  <c r="W373" i="1"/>
  <c r="Z373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R373" i="1"/>
  <c r="U373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B363" i="1"/>
  <c r="FB364" i="1" s="1"/>
  <c r="FE364" i="1" s="1"/>
  <c r="FQ362" i="1"/>
  <c r="FT362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O363" i="1"/>
  <c r="AL363" i="1"/>
  <c r="AL364" i="1" s="1"/>
  <c r="AO364" i="1" s="1"/>
  <c r="AG363" i="1"/>
  <c r="AJ363" i="1" s="1"/>
  <c r="AE363" i="1"/>
  <c r="AB363" i="1"/>
  <c r="AB364" i="1" s="1"/>
  <c r="AE364" i="1" s="1"/>
  <c r="AQ362" i="1"/>
  <c r="AT362" i="1" s="1"/>
  <c r="AO362" i="1"/>
  <c r="AL362" i="1"/>
  <c r="AG362" i="1"/>
  <c r="AJ362" i="1" s="1"/>
  <c r="AE362" i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W362" i="1"/>
  <c r="Z362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R362" i="1"/>
  <c r="U362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GA351" i="1"/>
  <c r="GD351" i="1" s="1"/>
  <c r="GD354" i="1" s="1"/>
  <c r="FV351" i="1"/>
  <c r="FV353" i="1" s="1"/>
  <c r="FY353" i="1" s="1"/>
  <c r="FY356" i="1" s="1"/>
  <c r="FQ351" i="1"/>
  <c r="FT351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S353" i="1"/>
  <c r="AR353" i="1"/>
  <c r="AN353" i="1"/>
  <c r="AM353" i="1"/>
  <c r="AI353" i="1"/>
  <c r="AH353" i="1"/>
  <c r="AG353" i="1"/>
  <c r="AJ353" i="1" s="1"/>
  <c r="AD353" i="1"/>
  <c r="AC353" i="1"/>
  <c r="AQ352" i="1"/>
  <c r="AQ353" i="1" s="1"/>
  <c r="AT353" i="1" s="1"/>
  <c r="AO352" i="1"/>
  <c r="AL352" i="1"/>
  <c r="AL353" i="1" s="1"/>
  <c r="AO353" i="1" s="1"/>
  <c r="AJ352" i="1"/>
  <c r="AG352" i="1"/>
  <c r="AB352" i="1"/>
  <c r="AB353" i="1" s="1"/>
  <c r="AE353" i="1" s="1"/>
  <c r="AQ351" i="1"/>
  <c r="AT351" i="1" s="1"/>
  <c r="AL351" i="1"/>
  <c r="AO351" i="1" s="1"/>
  <c r="AG351" i="1"/>
  <c r="AJ351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W352" i="1"/>
  <c r="Z352" i="1" s="1"/>
  <c r="W351" i="1"/>
  <c r="Z351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R351" i="1"/>
  <c r="U351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S342" i="1"/>
  <c r="AR342" i="1"/>
  <c r="AN342" i="1"/>
  <c r="AM342" i="1"/>
  <c r="AI342" i="1"/>
  <c r="AH342" i="1"/>
  <c r="AG342" i="1"/>
  <c r="AJ342" i="1" s="1"/>
  <c r="AD342" i="1"/>
  <c r="AC342" i="1"/>
  <c r="AQ341" i="1"/>
  <c r="AQ342" i="1" s="1"/>
  <c r="AT342" i="1" s="1"/>
  <c r="AO341" i="1"/>
  <c r="AL341" i="1"/>
  <c r="AL342" i="1" s="1"/>
  <c r="AO342" i="1" s="1"/>
  <c r="AG341" i="1"/>
  <c r="AJ341" i="1" s="1"/>
  <c r="AB341" i="1"/>
  <c r="AB342" i="1" s="1"/>
  <c r="AE342" i="1" s="1"/>
  <c r="AQ340" i="1"/>
  <c r="AT340" i="1" s="1"/>
  <c r="AL340" i="1"/>
  <c r="AO340" i="1" s="1"/>
  <c r="AG340" i="1"/>
  <c r="AJ340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W340" i="1"/>
  <c r="W342" i="1" s="1"/>
  <c r="Z342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R340" i="1"/>
  <c r="U340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B330" i="1"/>
  <c r="FB331" i="1" s="1"/>
  <c r="FE331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O330" i="1"/>
  <c r="AL330" i="1"/>
  <c r="AL331" i="1" s="1"/>
  <c r="AO331" i="1" s="1"/>
  <c r="AG330" i="1"/>
  <c r="AJ330" i="1" s="1"/>
  <c r="AE330" i="1"/>
  <c r="AB330" i="1"/>
  <c r="AB331" i="1" s="1"/>
  <c r="AE331" i="1" s="1"/>
  <c r="AQ329" i="1"/>
  <c r="AT329" i="1" s="1"/>
  <c r="AL329" i="1"/>
  <c r="AO329" i="1" s="1"/>
  <c r="AG329" i="1"/>
  <c r="AJ329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W329" i="1"/>
  <c r="Z329" i="1" s="1"/>
  <c r="Z328" i="1"/>
  <c r="W328" i="1"/>
  <c r="W327" i="1"/>
  <c r="Z327" i="1" s="1"/>
  <c r="W326" i="1"/>
  <c r="Z326" i="1" s="1"/>
  <c r="T331" i="1"/>
  <c r="S331" i="1"/>
  <c r="R330" i="1"/>
  <c r="U330" i="1" s="1"/>
  <c r="R329" i="1"/>
  <c r="R331" i="1" s="1"/>
  <c r="U331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L319" i="1"/>
  <c r="FO319" i="1" s="1"/>
  <c r="FO322" i="1" s="1"/>
  <c r="FG319" i="1"/>
  <c r="FJ319" i="1" s="1"/>
  <c r="FJ322" i="1" s="1"/>
  <c r="FB319" i="1"/>
  <c r="FB320" i="1" s="1"/>
  <c r="FE320" i="1" s="1"/>
  <c r="FQ318" i="1"/>
  <c r="FT318" i="1" s="1"/>
  <c r="FL318" i="1"/>
  <c r="FO318" i="1" s="1"/>
  <c r="FO321" i="1" s="1"/>
  <c r="FG318" i="1"/>
  <c r="FJ318" i="1" s="1"/>
  <c r="FJ321" i="1" s="1"/>
  <c r="FB318" i="1"/>
  <c r="FE318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S320" i="1"/>
  <c r="AR320" i="1"/>
  <c r="AN320" i="1"/>
  <c r="AM320" i="1"/>
  <c r="AI320" i="1"/>
  <c r="AH320" i="1"/>
  <c r="AG320" i="1"/>
  <c r="AJ320" i="1" s="1"/>
  <c r="AD320" i="1"/>
  <c r="AC320" i="1"/>
  <c r="AQ319" i="1"/>
  <c r="AQ320" i="1" s="1"/>
  <c r="AT320" i="1" s="1"/>
  <c r="AL319" i="1"/>
  <c r="AO319" i="1" s="1"/>
  <c r="AG319" i="1"/>
  <c r="AJ319" i="1" s="1"/>
  <c r="AB319" i="1"/>
  <c r="AE319" i="1" s="1"/>
  <c r="AQ318" i="1"/>
  <c r="AT318" i="1" s="1"/>
  <c r="AO318" i="1"/>
  <c r="AL318" i="1"/>
  <c r="AG318" i="1"/>
  <c r="AJ318" i="1" s="1"/>
  <c r="AB318" i="1"/>
  <c r="AE318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W318" i="1"/>
  <c r="Z318" i="1" s="1"/>
  <c r="Z317" i="1"/>
  <c r="W317" i="1"/>
  <c r="W316" i="1"/>
  <c r="Z316" i="1" s="1"/>
  <c r="W315" i="1"/>
  <c r="Z315" i="1" s="1"/>
  <c r="T320" i="1"/>
  <c r="S320" i="1"/>
  <c r="R319" i="1"/>
  <c r="U319" i="1" s="1"/>
  <c r="R318" i="1"/>
  <c r="R320" i="1" s="1"/>
  <c r="U320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GA307" i="1"/>
  <c r="GD307" i="1" s="1"/>
  <c r="GD310" i="1" s="1"/>
  <c r="FY307" i="1"/>
  <c r="FY310" i="1" s="1"/>
  <c r="FV307" i="1"/>
  <c r="FT307" i="1"/>
  <c r="FQ307" i="1"/>
  <c r="FQ309" i="1" s="1"/>
  <c r="FT309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B308" i="1"/>
  <c r="FB309" i="1" s="1"/>
  <c r="FE309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L308" i="1"/>
  <c r="AO308" i="1" s="1"/>
  <c r="AG308" i="1"/>
  <c r="AJ308" i="1" s="1"/>
  <c r="AE308" i="1"/>
  <c r="AB308" i="1"/>
  <c r="AB309" i="1" s="1"/>
  <c r="AE309" i="1" s="1"/>
  <c r="AQ307" i="1"/>
  <c r="AT307" i="1" s="1"/>
  <c r="AL307" i="1"/>
  <c r="AO307" i="1" s="1"/>
  <c r="AG307" i="1"/>
  <c r="AJ307" i="1" s="1"/>
  <c r="AB307" i="1"/>
  <c r="AE307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07" i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R307" i="1"/>
  <c r="U307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GC298" i="1"/>
  <c r="GB298" i="1"/>
  <c r="FX298" i="1"/>
  <c r="FW298" i="1"/>
  <c r="FS298" i="1"/>
  <c r="FR298" i="1"/>
  <c r="FQ298" i="1"/>
  <c r="FT298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S298" i="1"/>
  <c r="AR298" i="1"/>
  <c r="AN298" i="1"/>
  <c r="AM298" i="1"/>
  <c r="AI298" i="1"/>
  <c r="AH298" i="1"/>
  <c r="AG298" i="1"/>
  <c r="AJ298" i="1" s="1"/>
  <c r="AD298" i="1"/>
  <c r="AC298" i="1"/>
  <c r="AT297" i="1"/>
  <c r="AQ297" i="1"/>
  <c r="AQ298" i="1" s="1"/>
  <c r="AT298" i="1" s="1"/>
  <c r="AL297" i="1"/>
  <c r="AO297" i="1" s="1"/>
  <c r="AG297" i="1"/>
  <c r="AJ297" i="1" s="1"/>
  <c r="AB297" i="1"/>
  <c r="AB298" i="1" s="1"/>
  <c r="AE298" i="1" s="1"/>
  <c r="AQ296" i="1"/>
  <c r="AT296" i="1" s="1"/>
  <c r="AO296" i="1"/>
  <c r="AL296" i="1"/>
  <c r="AJ296" i="1"/>
  <c r="AG296" i="1"/>
  <c r="AB296" i="1"/>
  <c r="AE296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R297" i="1"/>
  <c r="R298" i="1" s="1"/>
  <c r="U298" i="1" s="1"/>
  <c r="W296" i="1"/>
  <c r="Z296" i="1" s="1"/>
  <c r="R296" i="1"/>
  <c r="U296" i="1" s="1"/>
  <c r="Z295" i="1"/>
  <c r="W295" i="1"/>
  <c r="W298" i="1" s="1"/>
  <c r="Z298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Q285" i="1"/>
  <c r="AT285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L285" i="1"/>
  <c r="AO285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85" i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B285" i="1"/>
  <c r="AE285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W285" i="1"/>
  <c r="Z285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R285" i="1"/>
  <c r="U285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Q275" i="1"/>
  <c r="FL275" i="1"/>
  <c r="FO275" i="1" s="1"/>
  <c r="FO278" i="1" s="1"/>
  <c r="FG275" i="1"/>
  <c r="FJ275" i="1" s="1"/>
  <c r="FJ278" i="1" s="1"/>
  <c r="FE275" i="1"/>
  <c r="FB275" i="1"/>
  <c r="FB276" i="1" s="1"/>
  <c r="FE276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Q273" i="1"/>
  <c r="FQ276" i="1" s="1"/>
  <c r="FT276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Q274" i="1"/>
  <c r="AT274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L274" i="1"/>
  <c r="AO274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4" i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B274" i="1"/>
  <c r="AE274" i="1" s="1"/>
  <c r="AE273" i="1"/>
  <c r="AB273" i="1"/>
  <c r="AB272" i="1"/>
  <c r="AE272" i="1" s="1"/>
  <c r="AB271" i="1"/>
  <c r="AE271" i="1" s="1"/>
  <c r="Y276" i="1"/>
  <c r="X276" i="1"/>
  <c r="W275" i="1"/>
  <c r="Z275" i="1" s="1"/>
  <c r="W274" i="1"/>
  <c r="W276" i="1" s="1"/>
  <c r="Z276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R274" i="1"/>
  <c r="U274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GA263" i="1"/>
  <c r="GD263" i="1" s="1"/>
  <c r="GD266" i="1" s="1"/>
  <c r="FV263" i="1"/>
  <c r="FY263" i="1" s="1"/>
  <c r="FY266" i="1" s="1"/>
  <c r="FQ263" i="1"/>
  <c r="FT263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Q263" i="1"/>
  <c r="AQ265" i="1" s="1"/>
  <c r="AT265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L263" i="1"/>
  <c r="AO263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G263" i="1"/>
  <c r="AJ263" i="1" s="1"/>
  <c r="AJ262" i="1"/>
  <c r="AG262" i="1"/>
  <c r="AG261" i="1"/>
  <c r="AJ261" i="1" s="1"/>
  <c r="AG260" i="1"/>
  <c r="AJ260" i="1" s="1"/>
  <c r="AD265" i="1"/>
  <c r="AC265" i="1"/>
  <c r="AE264" i="1"/>
  <c r="AB264" i="1"/>
  <c r="AB263" i="1"/>
  <c r="AE263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R263" i="1"/>
  <c r="U263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L252" i="1"/>
  <c r="AO252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G251" i="1"/>
  <c r="AJ251" i="1" s="1"/>
  <c r="AG250" i="1"/>
  <c r="AJ250" i="1" s="1"/>
  <c r="AG249" i="1"/>
  <c r="AJ249" i="1" s="1"/>
  <c r="AD254" i="1"/>
  <c r="AC254" i="1"/>
  <c r="AB253" i="1"/>
  <c r="AB252" i="1"/>
  <c r="AE252" i="1" s="1"/>
  <c r="AB251" i="1"/>
  <c r="AE251" i="1" s="1"/>
  <c r="AB250" i="1"/>
  <c r="AE250" i="1" s="1"/>
  <c r="AB249" i="1"/>
  <c r="AE249" i="1" s="1"/>
  <c r="Y254" i="1"/>
  <c r="X254" i="1"/>
  <c r="W253" i="1"/>
  <c r="W252" i="1"/>
  <c r="Z252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R252" i="1"/>
  <c r="U252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B242" i="1"/>
  <c r="FB243" i="1" s="1"/>
  <c r="FE243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B241" i="1"/>
  <c r="AE241" i="1" s="1"/>
  <c r="AE240" i="1"/>
  <c r="AB240" i="1"/>
  <c r="AB239" i="1"/>
  <c r="AE239" i="1" s="1"/>
  <c r="AB238" i="1"/>
  <c r="AE238" i="1" s="1"/>
  <c r="Y243" i="1"/>
  <c r="X243" i="1"/>
  <c r="W242" i="1"/>
  <c r="Z242" i="1" s="1"/>
  <c r="W241" i="1"/>
  <c r="Z241" i="1" s="1"/>
  <c r="W240" i="1"/>
  <c r="Z240" i="1" s="1"/>
  <c r="W239" i="1"/>
  <c r="Z239" i="1" s="1"/>
  <c r="W238" i="1"/>
  <c r="Z238" i="1" s="1"/>
  <c r="T243" i="1"/>
  <c r="S243" i="1"/>
  <c r="R242" i="1"/>
  <c r="U242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B231" i="1"/>
  <c r="FE231" i="1" s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L231" i="1"/>
  <c r="AO231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L230" i="1"/>
  <c r="AO230" i="1" s="1"/>
  <c r="BI229" i="1"/>
  <c r="BF229" i="1"/>
  <c r="BA229" i="1"/>
  <c r="BA232" i="1" s="1"/>
  <c r="BD232" i="1" s="1"/>
  <c r="BD235" i="1" s="1"/>
  <c r="AY229" i="1"/>
  <c r="AV229" i="1"/>
  <c r="AQ229" i="1"/>
  <c r="AT229" i="1" s="1"/>
  <c r="AL229" i="1"/>
  <c r="AO229" i="1" s="1"/>
  <c r="BF228" i="1"/>
  <c r="BI228" i="1" s="1"/>
  <c r="BD228" i="1"/>
  <c r="BA228" i="1"/>
  <c r="AV228" i="1"/>
  <c r="AY228" i="1" s="1"/>
  <c r="AQ228" i="1"/>
  <c r="AT228" i="1" s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B230" i="1"/>
  <c r="AE230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W229" i="1"/>
  <c r="Z229" i="1" s="1"/>
  <c r="W228" i="1"/>
  <c r="Z228" i="1" s="1"/>
  <c r="W227" i="1"/>
  <c r="Z227" i="1" s="1"/>
  <c r="T232" i="1"/>
  <c r="S232" i="1"/>
  <c r="R231" i="1"/>
  <c r="U231" i="1" s="1"/>
  <c r="R230" i="1"/>
  <c r="U230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GA219" i="1"/>
  <c r="GD219" i="1" s="1"/>
  <c r="GD222" i="1" s="1"/>
  <c r="FV219" i="1"/>
  <c r="FV221" i="1" s="1"/>
  <c r="FY221" i="1" s="1"/>
  <c r="FY224" i="1" s="1"/>
  <c r="FQ219" i="1"/>
  <c r="FT219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L220" i="1"/>
  <c r="AO220" i="1" s="1"/>
  <c r="AG220" i="1"/>
  <c r="AG221" i="1" s="1"/>
  <c r="AV219" i="1"/>
  <c r="AY219" i="1" s="1"/>
  <c r="AY222" i="1" s="1"/>
  <c r="AQ219" i="1"/>
  <c r="AT219" i="1" s="1"/>
  <c r="AL219" i="1"/>
  <c r="AO219" i="1" s="1"/>
  <c r="AG219" i="1"/>
  <c r="AJ219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R218" i="1"/>
  <c r="U218" i="1" s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O209" i="1"/>
  <c r="FO212" i="1" s="1"/>
  <c r="FL209" i="1"/>
  <c r="FG209" i="1"/>
  <c r="FJ209" i="1" s="1"/>
  <c r="FJ212" i="1" s="1"/>
  <c r="FT208" i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EW209" i="1"/>
  <c r="EW210" i="1" s="1"/>
  <c r="EZ210" i="1" s="1"/>
  <c r="EZ213" i="1" s="1"/>
  <c r="ER209" i="1"/>
  <c r="EU209" i="1" s="1"/>
  <c r="EU212" i="1" s="1"/>
  <c r="FE208" i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B209" i="1"/>
  <c r="AE209" i="1" s="1"/>
  <c r="AL208" i="1"/>
  <c r="AO208" i="1" s="1"/>
  <c r="AG208" i="1"/>
  <c r="AB208" i="1"/>
  <c r="AE208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R208" i="1"/>
  <c r="U208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G198" i="1"/>
  <c r="AJ198" i="1" s="1"/>
  <c r="AL197" i="1"/>
  <c r="AO197" i="1" s="1"/>
  <c r="AG197" i="1"/>
  <c r="AJ197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W198" i="1"/>
  <c r="W199" i="1" s="1"/>
  <c r="AB197" i="1"/>
  <c r="AE197" i="1" s="1"/>
  <c r="W197" i="1"/>
  <c r="Z197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B176" i="1"/>
  <c r="AE176" i="1" s="1"/>
  <c r="AO175" i="1"/>
  <c r="AL175" i="1"/>
  <c r="AG175" i="1"/>
  <c r="AB175" i="1"/>
  <c r="AE175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R175" i="1"/>
  <c r="U175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Q186" i="1"/>
  <c r="FT186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86" i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Q186" i="1"/>
  <c r="AT186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L186" i="1"/>
  <c r="AO186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B186" i="1"/>
  <c r="AE186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5" i="1"/>
  <c r="W185" i="1"/>
  <c r="W184" i="1"/>
  <c r="Z184" i="1" s="1"/>
  <c r="W183" i="1"/>
  <c r="Z183" i="1" s="1"/>
  <c r="T188" i="1"/>
  <c r="S188" i="1"/>
  <c r="R187" i="1"/>
  <c r="U187" i="1" s="1"/>
  <c r="R186" i="1"/>
  <c r="U186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O106" i="1"/>
  <c r="FN106" i="1"/>
  <c r="FM106" i="1"/>
  <c r="FL106" i="1"/>
  <c r="FJ106" i="1"/>
  <c r="FI106" i="1"/>
  <c r="FH106" i="1"/>
  <c r="FG106" i="1"/>
  <c r="FG166" i="1" s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R106" i="1"/>
  <c r="AN106" i="1"/>
  <c r="P106" i="1"/>
  <c r="K106" i="1"/>
  <c r="GD167" i="1"/>
  <c r="FY167" i="1"/>
  <c r="FY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T299" i="1" s="1"/>
  <c r="FR165" i="1"/>
  <c r="FO167" i="1"/>
  <c r="FJ167" i="1"/>
  <c r="FO166" i="1"/>
  <c r="FJ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E365" i="1" s="1"/>
  <c r="FC165" i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Y165" i="1"/>
  <c r="AX165" i="1"/>
  <c r="AX166" i="1" s="1"/>
  <c r="AW165" i="1"/>
  <c r="AV165" i="1"/>
  <c r="AN165" i="1"/>
  <c r="AN166" i="1" s="1"/>
  <c r="AD165" i="1"/>
  <c r="X165" i="1"/>
  <c r="K166" i="1"/>
  <c r="K165" i="1"/>
  <c r="P166" i="1"/>
  <c r="P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I165" i="1" s="1"/>
  <c r="AH162" i="1"/>
  <c r="AD162" i="1"/>
  <c r="AC162" i="1"/>
  <c r="Y162" i="1"/>
  <c r="Y165" i="1" s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D165" i="1" s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S165" i="1" s="1"/>
  <c r="AR138" i="1"/>
  <c r="AN138" i="1"/>
  <c r="AM138" i="1"/>
  <c r="AI138" i="1"/>
  <c r="AH138" i="1"/>
  <c r="AD138" i="1"/>
  <c r="AC138" i="1"/>
  <c r="AC165" i="1" s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S106" i="1" s="1"/>
  <c r="FR75" i="1"/>
  <c r="FN75" i="1"/>
  <c r="FM75" i="1"/>
  <c r="FI75" i="1"/>
  <c r="FH75" i="1"/>
  <c r="FD75" i="1"/>
  <c r="FD106" i="1" s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S106" i="1" s="1"/>
  <c r="AR75" i="1"/>
  <c r="AN75" i="1"/>
  <c r="AM75" i="1"/>
  <c r="AL75" i="1" s="1"/>
  <c r="AO75" i="1" s="1"/>
  <c r="AI75" i="1"/>
  <c r="AI106" i="1" s="1"/>
  <c r="AH75" i="1"/>
  <c r="AH106" i="1" s="1"/>
  <c r="AD75" i="1"/>
  <c r="AC75" i="1"/>
  <c r="AC106" i="1" s="1"/>
  <c r="Y75" i="1"/>
  <c r="Y106" i="1" s="1"/>
  <c r="X75" i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AL540" i="1" l="1"/>
  <c r="FS165" i="1"/>
  <c r="FT387" i="1"/>
  <c r="FT255" i="1"/>
  <c r="FB221" i="1"/>
  <c r="FE221" i="1" s="1"/>
  <c r="FC106" i="1"/>
  <c r="FC166" i="1" s="1"/>
  <c r="AM165" i="1"/>
  <c r="Z539" i="1"/>
  <c r="AH165" i="1"/>
  <c r="AE506" i="1"/>
  <c r="AD106" i="1"/>
  <c r="AO540" i="1"/>
  <c r="AO539" i="1"/>
  <c r="AO223" i="1"/>
  <c r="AO234" i="1"/>
  <c r="AO432" i="1"/>
  <c r="AO421" i="1"/>
  <c r="AO388" i="1"/>
  <c r="AO531" i="1"/>
  <c r="AO542" i="1"/>
  <c r="AO366" i="1"/>
  <c r="AO520" i="1"/>
  <c r="AL106" i="1"/>
  <c r="AM106" i="1"/>
  <c r="AO106" i="1" s="1"/>
  <c r="AO333" i="1" s="1"/>
  <c r="AO443" i="1"/>
  <c r="AO311" i="1"/>
  <c r="FR106" i="1"/>
  <c r="FR166" i="1" s="1"/>
  <c r="AG540" i="1"/>
  <c r="AJ540" i="1" s="1"/>
  <c r="FS166" i="1"/>
  <c r="FB232" i="1"/>
  <c r="FE232" i="1" s="1"/>
  <c r="FD166" i="1"/>
  <c r="FQ507" i="1"/>
  <c r="FT507" i="1" s="1"/>
  <c r="FT222" i="1"/>
  <c r="FT530" i="1"/>
  <c r="FT563" i="1"/>
  <c r="FT332" i="1"/>
  <c r="FT354" i="1"/>
  <c r="FT376" i="1"/>
  <c r="FT442" i="1"/>
  <c r="FT464" i="1"/>
  <c r="FT497" i="1"/>
  <c r="FT519" i="1"/>
  <c r="FT189" i="1"/>
  <c r="FT288" i="1"/>
  <c r="FT244" i="1"/>
  <c r="FT409" i="1"/>
  <c r="FT365" i="1"/>
  <c r="FT178" i="1"/>
  <c r="FT211" i="1"/>
  <c r="FT266" i="1"/>
  <c r="FT321" i="1"/>
  <c r="FT475" i="1"/>
  <c r="FT508" i="1"/>
  <c r="FT343" i="1"/>
  <c r="FT420" i="1"/>
  <c r="FT552" i="1"/>
  <c r="FT233" i="1"/>
  <c r="FT310" i="1"/>
  <c r="FT398" i="1"/>
  <c r="FT453" i="1"/>
  <c r="FT486" i="1"/>
  <c r="FB540" i="1"/>
  <c r="FE540" i="1" s="1"/>
  <c r="FE189" i="1"/>
  <c r="FE266" i="1"/>
  <c r="FE310" i="1"/>
  <c r="FE398" i="1"/>
  <c r="FE453" i="1"/>
  <c r="FE552" i="1"/>
  <c r="FE431" i="1"/>
  <c r="FE211" i="1"/>
  <c r="FE409" i="1"/>
  <c r="FE321" i="1"/>
  <c r="FE420" i="1"/>
  <c r="FE486" i="1"/>
  <c r="FE497" i="1"/>
  <c r="FE255" i="1"/>
  <c r="FE332" i="1"/>
  <c r="FE387" i="1"/>
  <c r="FE299" i="1"/>
  <c r="FE376" i="1"/>
  <c r="FE530" i="1"/>
  <c r="FE178" i="1"/>
  <c r="FE222" i="1"/>
  <c r="FE277" i="1"/>
  <c r="FE354" i="1"/>
  <c r="FE343" i="1"/>
  <c r="FE200" i="1"/>
  <c r="FE244" i="1"/>
  <c r="FE442" i="1"/>
  <c r="FE464" i="1"/>
  <c r="FE563" i="1"/>
  <c r="FE288" i="1"/>
  <c r="FE541" i="1"/>
  <c r="AB254" i="1"/>
  <c r="AE254" i="1" s="1"/>
  <c r="AR165" i="1"/>
  <c r="AH166" i="1"/>
  <c r="W75" i="1"/>
  <c r="Y166" i="1"/>
  <c r="AI166" i="1"/>
  <c r="H210" i="1"/>
  <c r="K210" i="1" s="1"/>
  <c r="K213" i="1" s="1"/>
  <c r="AE496" i="1"/>
  <c r="H232" i="1"/>
  <c r="U496" i="1"/>
  <c r="U495" i="1"/>
  <c r="EZ177" i="1"/>
  <c r="EZ180" i="1" s="1"/>
  <c r="W254" i="1"/>
  <c r="Z254" i="1" s="1"/>
  <c r="H199" i="1"/>
  <c r="K199" i="1" s="1"/>
  <c r="K202" i="1" s="1"/>
  <c r="AO177" i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Z495" i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L221" i="1"/>
  <c r="AO221" i="1" s="1"/>
  <c r="AV210" i="1"/>
  <c r="AY210" i="1" s="1"/>
  <c r="AY213" i="1" s="1"/>
  <c r="P243" i="1"/>
  <c r="P246" i="1" s="1"/>
  <c r="W265" i="1"/>
  <c r="Z265" i="1" s="1"/>
  <c r="R221" i="1"/>
  <c r="U221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H408" i="1"/>
  <c r="K408" i="1" s="1"/>
  <c r="K411" i="1" s="1"/>
  <c r="DI177" i="1"/>
  <c r="DL177" i="1" s="1"/>
  <c r="DL180" i="1" s="1"/>
  <c r="AG188" i="1"/>
  <c r="AJ188" i="1" s="1"/>
  <c r="W177" i="1"/>
  <c r="Z177" i="1" s="1"/>
  <c r="AO485" i="1"/>
  <c r="AO484" i="1"/>
  <c r="AT199" i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Q210" i="1"/>
  <c r="AT210" i="1" s="1"/>
  <c r="EC485" i="1"/>
  <c r="EF485" i="1" s="1"/>
  <c r="EF488" i="1" s="1"/>
  <c r="R419" i="1"/>
  <c r="U419" i="1" s="1"/>
  <c r="AG199" i="1"/>
  <c r="AJ199" i="1" s="1"/>
  <c r="DN221" i="1"/>
  <c r="DQ221" i="1" s="1"/>
  <c r="DQ224" i="1" s="1"/>
  <c r="AL452" i="1"/>
  <c r="AO452" i="1" s="1"/>
  <c r="AQ243" i="1"/>
  <c r="AT243" i="1" s="1"/>
  <c r="AQ452" i="1"/>
  <c r="AT452" i="1" s="1"/>
  <c r="ER419" i="1"/>
  <c r="EU419" i="1" s="1"/>
  <c r="EU422" i="1" s="1"/>
  <c r="Z188" i="1"/>
  <c r="Z199" i="1"/>
  <c r="AJ221" i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W221" i="1"/>
  <c r="Z221" i="1" s="1"/>
  <c r="R243" i="1"/>
  <c r="U243" i="1" s="1"/>
  <c r="R232" i="1"/>
  <c r="U232" i="1" s="1"/>
  <c r="AG419" i="1"/>
  <c r="AJ419" i="1" s="1"/>
  <c r="AG452" i="1"/>
  <c r="AJ452" i="1" s="1"/>
  <c r="AL210" i="1"/>
  <c r="AO210" i="1" s="1"/>
  <c r="AL232" i="1"/>
  <c r="AO232" i="1" s="1"/>
  <c r="AO227" i="1"/>
  <c r="AT198" i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W232" i="1"/>
  <c r="Z232" i="1" s="1"/>
  <c r="R188" i="1"/>
  <c r="U188" i="1" s="1"/>
  <c r="AG243" i="1"/>
  <c r="AJ243" i="1" s="1"/>
  <c r="AG210" i="1"/>
  <c r="AJ210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T561" i="1"/>
  <c r="AL551" i="1"/>
  <c r="AO551" i="1" s="1"/>
  <c r="Z561" i="1"/>
  <c r="R551" i="1"/>
  <c r="U551" i="1" s="1"/>
  <c r="U561" i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8" i="1"/>
  <c r="FO516" i="1"/>
  <c r="FO519" i="1" s="1"/>
  <c r="FO539" i="1"/>
  <c r="FO542" i="1" s="1"/>
  <c r="FJ539" i="1"/>
  <c r="FJ542" i="1" s="1"/>
  <c r="FE516" i="1"/>
  <c r="FE519" i="1" s="1"/>
  <c r="FE539" i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E516" i="1"/>
  <c r="AE526" i="1"/>
  <c r="AE539" i="1"/>
  <c r="AT517" i="1"/>
  <c r="AJ526" i="1"/>
  <c r="AT539" i="1"/>
  <c r="AG518" i="1"/>
  <c r="AJ518" i="1" s="1"/>
  <c r="Z517" i="1"/>
  <c r="U515" i="1"/>
  <c r="U539" i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L485" i="1"/>
  <c r="FO485" i="1" s="1"/>
  <c r="FO488" i="1" s="1"/>
  <c r="FJ484" i="1"/>
  <c r="FJ487" i="1" s="1"/>
  <c r="FE495" i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G507" i="1"/>
  <c r="AJ507" i="1" s="1"/>
  <c r="AT484" i="1"/>
  <c r="AJ493" i="1"/>
  <c r="AG485" i="1"/>
  <c r="AJ485" i="1" s="1"/>
  <c r="Z506" i="1"/>
  <c r="Z484" i="1"/>
  <c r="U505" i="1"/>
  <c r="U484" i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51" i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J450" i="1"/>
  <c r="AT451" i="1"/>
  <c r="AJ460" i="1"/>
  <c r="AT471" i="1"/>
  <c r="AB452" i="1"/>
  <c r="AE452" i="1" s="1"/>
  <c r="AL463" i="1"/>
  <c r="AO463" i="1" s="1"/>
  <c r="Z473" i="1"/>
  <c r="Z451" i="1"/>
  <c r="R463" i="1"/>
  <c r="U463" i="1" s="1"/>
  <c r="R452" i="1"/>
  <c r="U452" i="1" s="1"/>
  <c r="P473" i="1"/>
  <c r="P476" i="1" s="1"/>
  <c r="K473" i="1"/>
  <c r="K462" i="1"/>
  <c r="FT428" i="1"/>
  <c r="FT431" i="1" s="1"/>
  <c r="FQ441" i="1"/>
  <c r="FT441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G441" i="1"/>
  <c r="AJ441" i="1" s="1"/>
  <c r="AJ427" i="1"/>
  <c r="AL441" i="1"/>
  <c r="AO441" i="1" s="1"/>
  <c r="AT440" i="1"/>
  <c r="AL430" i="1"/>
  <c r="AO430" i="1" s="1"/>
  <c r="U440" i="1"/>
  <c r="P440" i="1"/>
  <c r="P443" i="1" s="1"/>
  <c r="K440" i="1"/>
  <c r="K429" i="1"/>
  <c r="FL419" i="1"/>
  <c r="FO419" i="1" s="1"/>
  <c r="FO422" i="1" s="1"/>
  <c r="FQ419" i="1"/>
  <c r="FT419" i="1" s="1"/>
  <c r="FY418" i="1"/>
  <c r="FY421" i="1" s="1"/>
  <c r="EP418" i="1"/>
  <c r="EP421" i="1" s="1"/>
  <c r="EW419" i="1"/>
  <c r="EZ419" i="1" s="1"/>
  <c r="EZ422" i="1" s="1"/>
  <c r="FE418" i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L419" i="1"/>
  <c r="AO419" i="1" s="1"/>
  <c r="AT418" i="1"/>
  <c r="Z418" i="1"/>
  <c r="U418" i="1"/>
  <c r="K418" i="1"/>
  <c r="GD405" i="1"/>
  <c r="FY407" i="1"/>
  <c r="FY410" i="1" s="1"/>
  <c r="FE407" i="1"/>
  <c r="FL408" i="1"/>
  <c r="FO408" i="1" s="1"/>
  <c r="FO411" i="1" s="1"/>
  <c r="FT407" i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L408" i="1"/>
  <c r="AO408" i="1" s="1"/>
  <c r="AT407" i="1"/>
  <c r="Z407" i="1"/>
  <c r="U407" i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T396" i="1"/>
  <c r="Z396" i="1"/>
  <c r="U396" i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L386" i="1"/>
  <c r="AO386" i="1" s="1"/>
  <c r="AT385" i="1"/>
  <c r="Z385" i="1"/>
  <c r="U385" i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T374" i="1"/>
  <c r="U374" i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T363" i="1"/>
  <c r="Z363" i="1"/>
  <c r="U363" i="1"/>
  <c r="P363" i="1"/>
  <c r="P366" i="1" s="1"/>
  <c r="K363" i="1"/>
  <c r="GD352" i="1"/>
  <c r="GD355" i="1" s="1"/>
  <c r="FY351" i="1"/>
  <c r="FY354" i="1" s="1"/>
  <c r="FQ353" i="1"/>
  <c r="FT353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T352" i="1"/>
  <c r="U352" i="1"/>
  <c r="P352" i="1"/>
  <c r="P355" i="1" s="1"/>
  <c r="K352" i="1"/>
  <c r="FO341" i="1"/>
  <c r="FO344" i="1" s="1"/>
  <c r="GD341" i="1"/>
  <c r="GD344" i="1" s="1"/>
  <c r="FB342" i="1"/>
  <c r="FE342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T341" i="1"/>
  <c r="Z340" i="1"/>
  <c r="U341" i="1"/>
  <c r="P341" i="1"/>
  <c r="P344" i="1" s="1"/>
  <c r="GD330" i="1"/>
  <c r="GD333" i="1" s="1"/>
  <c r="FJ330" i="1"/>
  <c r="FJ333" i="1" s="1"/>
  <c r="FQ331" i="1"/>
  <c r="FT331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T330" i="1"/>
  <c r="Z330" i="1"/>
  <c r="U329" i="1"/>
  <c r="P330" i="1"/>
  <c r="P333" i="1" s="1"/>
  <c r="K330" i="1"/>
  <c r="GD317" i="1"/>
  <c r="FY319" i="1"/>
  <c r="FY322" i="1" s="1"/>
  <c r="FE319" i="1"/>
  <c r="FL320" i="1"/>
  <c r="FO320" i="1" s="1"/>
  <c r="FO323" i="1" s="1"/>
  <c r="FT319" i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T319" i="1"/>
  <c r="AB320" i="1"/>
  <c r="AE320" i="1" s="1"/>
  <c r="Z319" i="1"/>
  <c r="U318" i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L309" i="1"/>
  <c r="AO309" i="1" s="1"/>
  <c r="AT308" i="1"/>
  <c r="Z308" i="1"/>
  <c r="U308" i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E297" i="1"/>
  <c r="U297" i="1"/>
  <c r="P297" i="1"/>
  <c r="P300" i="1" s="1"/>
  <c r="K297" i="1"/>
  <c r="GD286" i="1"/>
  <c r="GD289" i="1" s="1"/>
  <c r="FJ286" i="1"/>
  <c r="FJ289" i="1" s="1"/>
  <c r="FQ287" i="1"/>
  <c r="FT287" i="1" s="1"/>
  <c r="FY286" i="1"/>
  <c r="FY289" i="1" s="1"/>
  <c r="EP286" i="1"/>
  <c r="EP289" i="1" s="1"/>
  <c r="EW287" i="1"/>
  <c r="EZ287" i="1" s="1"/>
  <c r="EZ290" i="1" s="1"/>
  <c r="FE286" i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O286" i="1"/>
  <c r="AO289" i="1" s="1"/>
  <c r="AJ286" i="1"/>
  <c r="AE286" i="1"/>
  <c r="Z286" i="1"/>
  <c r="U286" i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O275" i="1"/>
  <c r="AO278" i="1" s="1"/>
  <c r="AJ275" i="1"/>
  <c r="AE275" i="1"/>
  <c r="Z274" i="1"/>
  <c r="U275" i="1"/>
  <c r="P275" i="1"/>
  <c r="P278" i="1" s="1"/>
  <c r="K275" i="1"/>
  <c r="GD264" i="1"/>
  <c r="GD267" i="1" s="1"/>
  <c r="FQ265" i="1"/>
  <c r="FT265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O264" i="1"/>
  <c r="AO267" i="1" s="1"/>
  <c r="AJ264" i="1"/>
  <c r="Z264" i="1"/>
  <c r="U264" i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J253" i="1"/>
  <c r="AE253" i="1"/>
  <c r="Z253" i="1"/>
  <c r="U253" i="1"/>
  <c r="P253" i="1"/>
  <c r="P256" i="1" s="1"/>
  <c r="K253" i="1"/>
  <c r="GD242" i="1"/>
  <c r="GD245" i="1" s="1"/>
  <c r="FJ242" i="1"/>
  <c r="FJ245" i="1" s="1"/>
  <c r="FQ243" i="1"/>
  <c r="FT243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J242" i="1"/>
  <c r="AE242" i="1"/>
  <c r="W243" i="1"/>
  <c r="Z243" i="1" s="1"/>
  <c r="U241" i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B232" i="1"/>
  <c r="AE232" i="1" s="1"/>
  <c r="Z231" i="1"/>
  <c r="P231" i="1"/>
  <c r="P234" i="1" s="1"/>
  <c r="FQ221" i="1"/>
  <c r="FT221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Q221" i="1"/>
  <c r="AT221" i="1" s="1"/>
  <c r="AY220" i="1"/>
  <c r="AY223" i="1" s="1"/>
  <c r="Z220" i="1"/>
  <c r="U220" i="1"/>
  <c r="P220" i="1"/>
  <c r="P223" i="1" s="1"/>
  <c r="K220" i="1"/>
  <c r="K223" i="1" s="1"/>
  <c r="GD207" i="1"/>
  <c r="FY209" i="1"/>
  <c r="FY212" i="1" s="1"/>
  <c r="FT209" i="1"/>
  <c r="FE209" i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Y208" i="1"/>
  <c r="AY211" i="1" s="1"/>
  <c r="AO209" i="1"/>
  <c r="AO212" i="1" s="1"/>
  <c r="AB210" i="1"/>
  <c r="AE210" i="1" s="1"/>
  <c r="AJ208" i="1"/>
  <c r="U209" i="1"/>
  <c r="P209" i="1"/>
  <c r="P212" i="1" s="1"/>
  <c r="K209" i="1"/>
  <c r="K212" i="1" s="1"/>
  <c r="FQ199" i="1"/>
  <c r="FT199" i="1" s="1"/>
  <c r="FE198" i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Z198" i="1"/>
  <c r="P198" i="1"/>
  <c r="P201" i="1" s="1"/>
  <c r="FV177" i="1"/>
  <c r="FY177" i="1" s="1"/>
  <c r="FY180" i="1" s="1"/>
  <c r="FT176" i="1"/>
  <c r="FB177" i="1"/>
  <c r="FE177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J175" i="1"/>
  <c r="Z175" i="1"/>
  <c r="U174" i="1"/>
  <c r="U176" i="1"/>
  <c r="P176" i="1"/>
  <c r="P179" i="1" s="1"/>
  <c r="M177" i="1"/>
  <c r="P177" i="1" s="1"/>
  <c r="P180" i="1" s="1"/>
  <c r="GD187" i="1"/>
  <c r="GD190" i="1" s="1"/>
  <c r="FY187" i="1"/>
  <c r="FY190" i="1" s="1"/>
  <c r="FT187" i="1"/>
  <c r="FO187" i="1"/>
  <c r="FO190" i="1" s="1"/>
  <c r="FJ186" i="1"/>
  <c r="FJ189" i="1" s="1"/>
  <c r="FE187" i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O187" i="1"/>
  <c r="AO190" i="1" s="1"/>
  <c r="AJ187" i="1"/>
  <c r="AE187" i="1"/>
  <c r="Z187" i="1"/>
  <c r="H188" i="1"/>
  <c r="K188" i="1" s="1"/>
  <c r="K191" i="1" s="1"/>
  <c r="FV166" i="1"/>
  <c r="FW166" i="1"/>
  <c r="FX166" i="1"/>
  <c r="GA166" i="1"/>
  <c r="GD166" i="1" s="1"/>
  <c r="FH166" i="1"/>
  <c r="FI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S166" i="1"/>
  <c r="AV166" i="1"/>
  <c r="AW166" i="1"/>
  <c r="AY166" i="1" s="1"/>
  <c r="AC166" i="1"/>
  <c r="AD166" i="1"/>
  <c r="EZ166" i="1"/>
  <c r="ES166" i="1"/>
  <c r="EU166" i="1" s="1"/>
  <c r="DO166" i="1"/>
  <c r="DQ166" i="1" s="1"/>
  <c r="FG103" i="1"/>
  <c r="BZ103" i="1"/>
  <c r="CC103" i="1" s="1"/>
  <c r="EH103" i="1"/>
  <c r="M103" i="1"/>
  <c r="P103" i="1" s="1"/>
  <c r="AB75" i="1"/>
  <c r="FQ75" i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S166" i="1" s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X166" i="1" s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W165" i="1" s="1"/>
  <c r="Z165" i="1" s="1"/>
  <c r="BA162" i="1"/>
  <c r="CE162" i="1"/>
  <c r="DI162" i="1"/>
  <c r="EM162" i="1"/>
  <c r="FQ162" i="1"/>
  <c r="C158" i="1"/>
  <c r="F158" i="1" s="1"/>
  <c r="C159" i="1"/>
  <c r="F159" i="1" s="1"/>
  <c r="AL162" i="1"/>
  <c r="AL165" i="1" s="1"/>
  <c r="AL166" i="1" s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AO165" i="1" l="1"/>
  <c r="AO365" i="1" s="1"/>
  <c r="AO299" i="1"/>
  <c r="AO541" i="1"/>
  <c r="AO321" i="1"/>
  <c r="AO255" i="1"/>
  <c r="AO453" i="1"/>
  <c r="AO233" i="1"/>
  <c r="AO420" i="1"/>
  <c r="AO343" i="1"/>
  <c r="AO277" i="1"/>
  <c r="AO486" i="1"/>
  <c r="AO519" i="1"/>
  <c r="AO211" i="1"/>
  <c r="AO464" i="1"/>
  <c r="AO552" i="1"/>
  <c r="AO310" i="1"/>
  <c r="AO563" i="1"/>
  <c r="AO178" i="1"/>
  <c r="AO288" i="1"/>
  <c r="AO387" i="1"/>
  <c r="AO376" i="1"/>
  <c r="AO475" i="1"/>
  <c r="AO354" i="1"/>
  <c r="AO497" i="1"/>
  <c r="AO431" i="1"/>
  <c r="AO189" i="1"/>
  <c r="AO530" i="1"/>
  <c r="AO200" i="1"/>
  <c r="AO222" i="1"/>
  <c r="AO266" i="1"/>
  <c r="AO167" i="1"/>
  <c r="AM166" i="1"/>
  <c r="AO166" i="1" s="1"/>
  <c r="AO543" i="1" s="1"/>
  <c r="AG165" i="1"/>
  <c r="AJ165" i="1" s="1"/>
  <c r="AJ497" i="1" s="1"/>
  <c r="E106" i="1"/>
  <c r="AO455" i="1"/>
  <c r="AO488" i="1"/>
  <c r="AO532" i="1"/>
  <c r="AO521" i="1"/>
  <c r="AO499" i="1"/>
  <c r="AO334" i="1"/>
  <c r="AO312" i="1"/>
  <c r="AO268" i="1"/>
  <c r="AO257" i="1"/>
  <c r="AO400" i="1"/>
  <c r="AO180" i="1"/>
  <c r="AO355" i="1"/>
  <c r="AO191" i="1"/>
  <c r="AO235" i="1"/>
  <c r="AO202" i="1"/>
  <c r="AO344" i="1"/>
  <c r="AO509" i="1"/>
  <c r="AO399" i="1"/>
  <c r="AO377" i="1"/>
  <c r="AO466" i="1"/>
  <c r="AO554" i="1"/>
  <c r="AO279" i="1"/>
  <c r="AO510" i="1"/>
  <c r="AO356" i="1"/>
  <c r="AO476" i="1"/>
  <c r="AO410" i="1"/>
  <c r="AO300" i="1"/>
  <c r="AO553" i="1"/>
  <c r="AO201" i="1"/>
  <c r="AO256" i="1"/>
  <c r="AO433" i="1"/>
  <c r="AO345" i="1"/>
  <c r="AO564" i="1"/>
  <c r="AO477" i="1"/>
  <c r="AO411" i="1"/>
  <c r="AO422" i="1"/>
  <c r="AO487" i="1"/>
  <c r="AO465" i="1"/>
  <c r="AO322" i="1"/>
  <c r="Z106" i="1"/>
  <c r="Z344" i="1" s="1"/>
  <c r="FT75" i="1"/>
  <c r="FQ106" i="1"/>
  <c r="FT106" i="1" s="1"/>
  <c r="FT454" i="1" s="1"/>
  <c r="FE75" i="1"/>
  <c r="FB106" i="1"/>
  <c r="FE106" i="1" s="1"/>
  <c r="FE542" i="1" s="1"/>
  <c r="FT167" i="1"/>
  <c r="FQ165" i="1"/>
  <c r="FE138" i="1"/>
  <c r="FB165" i="1"/>
  <c r="FE167" i="1"/>
  <c r="R106" i="1"/>
  <c r="U106" i="1"/>
  <c r="U322" i="1" s="1"/>
  <c r="AJ508" i="1"/>
  <c r="AJ299" i="1"/>
  <c r="AJ398" i="1"/>
  <c r="AJ486" i="1"/>
  <c r="AJ365" i="1"/>
  <c r="AJ442" i="1"/>
  <c r="AJ189" i="1"/>
  <c r="AJ200" i="1"/>
  <c r="AJ387" i="1"/>
  <c r="AJ552" i="1"/>
  <c r="AJ321" i="1"/>
  <c r="AJ519" i="1"/>
  <c r="AJ288" i="1"/>
  <c r="AJ420" i="1"/>
  <c r="AJ464" i="1"/>
  <c r="AJ244" i="1"/>
  <c r="AJ266" i="1"/>
  <c r="AJ178" i="1"/>
  <c r="AJ255" i="1"/>
  <c r="AJ354" i="1"/>
  <c r="AJ409" i="1"/>
  <c r="AJ211" i="1"/>
  <c r="AJ563" i="1"/>
  <c r="AJ277" i="1"/>
  <c r="AJ343" i="1"/>
  <c r="AJ453" i="1"/>
  <c r="AJ541" i="1"/>
  <c r="AJ376" i="1"/>
  <c r="AJ310" i="1"/>
  <c r="AJ530" i="1"/>
  <c r="AJ332" i="1"/>
  <c r="AJ222" i="1"/>
  <c r="U465" i="1"/>
  <c r="U509" i="1"/>
  <c r="U476" i="1"/>
  <c r="U234" i="1"/>
  <c r="U190" i="1"/>
  <c r="U245" i="1"/>
  <c r="U432" i="1"/>
  <c r="U454" i="1"/>
  <c r="U333" i="1"/>
  <c r="U542" i="1"/>
  <c r="U564" i="1"/>
  <c r="U410" i="1"/>
  <c r="U421" i="1"/>
  <c r="U278" i="1"/>
  <c r="U366" i="1"/>
  <c r="U498" i="1"/>
  <c r="U212" i="1"/>
  <c r="U311" i="1"/>
  <c r="U289" i="1"/>
  <c r="U487" i="1"/>
  <c r="U388" i="1"/>
  <c r="U300" i="1"/>
  <c r="U399" i="1"/>
  <c r="Z497" i="1"/>
  <c r="Z431" i="1"/>
  <c r="Z552" i="1"/>
  <c r="Z178" i="1"/>
  <c r="Z288" i="1"/>
  <c r="Z354" i="1"/>
  <c r="Z563" i="1"/>
  <c r="Z222" i="1"/>
  <c r="Z486" i="1"/>
  <c r="Z420" i="1"/>
  <c r="Z442" i="1"/>
  <c r="Z387" i="1"/>
  <c r="Z233" i="1"/>
  <c r="Z332" i="1"/>
  <c r="Z464" i="1"/>
  <c r="Z321" i="1"/>
  <c r="Z398" i="1"/>
  <c r="Z266" i="1"/>
  <c r="Z277" i="1"/>
  <c r="Z343" i="1"/>
  <c r="Z189" i="1"/>
  <c r="Z200" i="1"/>
  <c r="Z530" i="1"/>
  <c r="Z541" i="1"/>
  <c r="Z475" i="1"/>
  <c r="Z409" i="1"/>
  <c r="Z453" i="1"/>
  <c r="Z519" i="1"/>
  <c r="Z376" i="1"/>
  <c r="Z244" i="1"/>
  <c r="Z365" i="1"/>
  <c r="Z310" i="1"/>
  <c r="Z299" i="1"/>
  <c r="Z508" i="1"/>
  <c r="Z255" i="1"/>
  <c r="AT138" i="1"/>
  <c r="AQ165" i="1"/>
  <c r="AT165" i="1" s="1"/>
  <c r="AE75" i="1"/>
  <c r="AB106" i="1"/>
  <c r="AE106" i="1" s="1"/>
  <c r="Z542" i="1"/>
  <c r="Z509" i="1"/>
  <c r="W166" i="1"/>
  <c r="Z166" i="1" s="1"/>
  <c r="Z246" i="1" s="1"/>
  <c r="Z75" i="1"/>
  <c r="Z167" i="1"/>
  <c r="Z564" i="1"/>
  <c r="Z179" i="1"/>
  <c r="AJ75" i="1"/>
  <c r="AG106" i="1"/>
  <c r="AJ167" i="1"/>
  <c r="AT75" i="1"/>
  <c r="AQ106" i="1"/>
  <c r="AT167" i="1"/>
  <c r="E166" i="1"/>
  <c r="AE138" i="1"/>
  <c r="AB165" i="1"/>
  <c r="AE167" i="1"/>
  <c r="H106" i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AO213" i="1" l="1"/>
  <c r="AO224" i="1"/>
  <c r="AO409" i="1"/>
  <c r="AO398" i="1"/>
  <c r="AO508" i="1"/>
  <c r="AO332" i="1"/>
  <c r="AO442" i="1"/>
  <c r="Z410" i="1"/>
  <c r="Z531" i="1"/>
  <c r="Z278" i="1"/>
  <c r="Z245" i="1"/>
  <c r="Z443" i="1"/>
  <c r="Z465" i="1"/>
  <c r="Z487" i="1"/>
  <c r="Z256" i="1"/>
  <c r="Z399" i="1"/>
  <c r="Z201" i="1"/>
  <c r="Z223" i="1"/>
  <c r="Z322" i="1"/>
  <c r="Z388" i="1"/>
  <c r="Z234" i="1"/>
  <c r="Z421" i="1"/>
  <c r="Z476" i="1"/>
  <c r="Z333" i="1"/>
  <c r="Z432" i="1"/>
  <c r="Z300" i="1"/>
  <c r="Z520" i="1"/>
  <c r="Z454" i="1"/>
  <c r="Z267" i="1"/>
  <c r="Z498" i="1"/>
  <c r="FE289" i="1"/>
  <c r="FE410" i="1"/>
  <c r="FE212" i="1"/>
  <c r="FE190" i="1"/>
  <c r="FE454" i="1"/>
  <c r="FB166" i="1"/>
  <c r="FE166" i="1" s="1"/>
  <c r="FE334" i="1" s="1"/>
  <c r="FE531" i="1"/>
  <c r="FE256" i="1"/>
  <c r="FE399" i="1"/>
  <c r="FE520" i="1"/>
  <c r="FE179" i="1"/>
  <c r="FE333" i="1"/>
  <c r="FE245" i="1"/>
  <c r="FE355" i="1"/>
  <c r="FE432" i="1"/>
  <c r="FE267" i="1"/>
  <c r="FE377" i="1"/>
  <c r="FE344" i="1"/>
  <c r="FE366" i="1"/>
  <c r="FE300" i="1"/>
  <c r="FE476" i="1"/>
  <c r="FE443" i="1"/>
  <c r="FE487" i="1"/>
  <c r="FE553" i="1"/>
  <c r="FE311" i="1"/>
  <c r="FE223" i="1"/>
  <c r="FE388" i="1"/>
  <c r="FE465" i="1"/>
  <c r="FE564" i="1"/>
  <c r="FE234" i="1"/>
  <c r="FE278" i="1"/>
  <c r="FE421" i="1"/>
  <c r="FE201" i="1"/>
  <c r="FE498" i="1"/>
  <c r="FE322" i="1"/>
  <c r="AO444" i="1"/>
  <c r="AO389" i="1"/>
  <c r="AO367" i="1"/>
  <c r="AO378" i="1"/>
  <c r="AO301" i="1"/>
  <c r="AO290" i="1"/>
  <c r="AO323" i="1"/>
  <c r="AO565" i="1"/>
  <c r="Z377" i="1"/>
  <c r="Z355" i="1"/>
  <c r="Z289" i="1"/>
  <c r="Z366" i="1"/>
  <c r="Z311" i="1"/>
  <c r="AJ475" i="1"/>
  <c r="AJ431" i="1"/>
  <c r="Z190" i="1"/>
  <c r="Z553" i="1"/>
  <c r="FT520" i="1"/>
  <c r="FT234" i="1"/>
  <c r="FT333" i="1"/>
  <c r="FT564" i="1"/>
  <c r="FT487" i="1"/>
  <c r="FT377" i="1"/>
  <c r="FT432" i="1"/>
  <c r="FT399" i="1"/>
  <c r="FT201" i="1"/>
  <c r="FT278" i="1"/>
  <c r="FT355" i="1"/>
  <c r="FT300" i="1"/>
  <c r="FT388" i="1"/>
  <c r="FT223" i="1"/>
  <c r="FT498" i="1"/>
  <c r="FT509" i="1"/>
  <c r="FT289" i="1"/>
  <c r="FT465" i="1"/>
  <c r="FT256" i="1"/>
  <c r="FT245" i="1"/>
  <c r="FT311" i="1"/>
  <c r="FT421" i="1"/>
  <c r="FT443" i="1"/>
  <c r="FT267" i="1"/>
  <c r="FT553" i="1"/>
  <c r="FT344" i="1"/>
  <c r="FT476" i="1"/>
  <c r="FQ166" i="1"/>
  <c r="FT166" i="1" s="1"/>
  <c r="FT257" i="1" s="1"/>
  <c r="FT366" i="1"/>
  <c r="FT190" i="1"/>
  <c r="FT322" i="1"/>
  <c r="FT531" i="1"/>
  <c r="FT179" i="1"/>
  <c r="FT410" i="1"/>
  <c r="FT212" i="1"/>
  <c r="FT433" i="1"/>
  <c r="FT290" i="1"/>
  <c r="FT202" i="1"/>
  <c r="FT521" i="1"/>
  <c r="FE411" i="1"/>
  <c r="FE378" i="1"/>
  <c r="FE191" i="1"/>
  <c r="FE224" i="1"/>
  <c r="FE279" i="1"/>
  <c r="FE477" i="1"/>
  <c r="FE246" i="1"/>
  <c r="FE499" i="1"/>
  <c r="FE235" i="1"/>
  <c r="FE389" i="1"/>
  <c r="FE312" i="1"/>
  <c r="FE290" i="1"/>
  <c r="FE356" i="1"/>
  <c r="FE433" i="1"/>
  <c r="FE532" i="1"/>
  <c r="FE455" i="1"/>
  <c r="FE268" i="1"/>
  <c r="FE565" i="1"/>
  <c r="FE257" i="1"/>
  <c r="FE180" i="1"/>
  <c r="FE301" i="1"/>
  <c r="U256" i="1"/>
  <c r="U355" i="1"/>
  <c r="U223" i="1"/>
  <c r="U344" i="1"/>
  <c r="U520" i="1"/>
  <c r="U179" i="1"/>
  <c r="U531" i="1"/>
  <c r="U267" i="1"/>
  <c r="U377" i="1"/>
  <c r="U553" i="1"/>
  <c r="U443" i="1"/>
  <c r="Z235" i="1"/>
  <c r="AT497" i="1"/>
  <c r="AT222" i="1"/>
  <c r="AT508" i="1"/>
  <c r="AT387" i="1"/>
  <c r="AT409" i="1"/>
  <c r="AT442" i="1"/>
  <c r="AT453" i="1"/>
  <c r="AT563" i="1"/>
  <c r="AT354" i="1"/>
  <c r="AT277" i="1"/>
  <c r="AT420" i="1"/>
  <c r="AT288" i="1"/>
  <c r="AT189" i="1"/>
  <c r="AT321" i="1"/>
  <c r="AT519" i="1"/>
  <c r="AT200" i="1"/>
  <c r="AT398" i="1"/>
  <c r="AT464" i="1"/>
  <c r="AT530" i="1"/>
  <c r="AT541" i="1"/>
  <c r="AT486" i="1"/>
  <c r="AT299" i="1"/>
  <c r="AT552" i="1"/>
  <c r="AT310" i="1"/>
  <c r="AT178" i="1"/>
  <c r="AT332" i="1"/>
  <c r="AT244" i="1"/>
  <c r="AT343" i="1"/>
  <c r="AT376" i="1"/>
  <c r="AT365" i="1"/>
  <c r="AT475" i="1"/>
  <c r="AT233" i="1"/>
  <c r="AT431" i="1"/>
  <c r="AT266" i="1"/>
  <c r="AT211" i="1"/>
  <c r="AE520" i="1"/>
  <c r="AE432" i="1"/>
  <c r="AE212" i="1"/>
  <c r="AE553" i="1"/>
  <c r="AE333" i="1"/>
  <c r="AE201" i="1"/>
  <c r="AE443" i="1"/>
  <c r="AE465" i="1"/>
  <c r="AE454" i="1"/>
  <c r="AE267" i="1"/>
  <c r="AE179" i="1"/>
  <c r="AE311" i="1"/>
  <c r="AE234" i="1"/>
  <c r="AE322" i="1"/>
  <c r="AE487" i="1"/>
  <c r="AE531" i="1"/>
  <c r="AE498" i="1"/>
  <c r="AE366" i="1"/>
  <c r="AE509" i="1"/>
  <c r="AE399" i="1"/>
  <c r="AE344" i="1"/>
  <c r="AE476" i="1"/>
  <c r="AE355" i="1"/>
  <c r="AE564" i="1"/>
  <c r="AE388" i="1"/>
  <c r="AE300" i="1"/>
  <c r="AE245" i="1"/>
  <c r="AE377" i="1"/>
  <c r="AE421" i="1"/>
  <c r="AE278" i="1"/>
  <c r="AE410" i="1"/>
  <c r="AE289" i="1"/>
  <c r="AE542" i="1"/>
  <c r="AE190" i="1"/>
  <c r="AE256" i="1"/>
  <c r="U312" i="1"/>
  <c r="U510" i="1"/>
  <c r="U213" i="1"/>
  <c r="U532" i="1"/>
  <c r="U345" i="1"/>
  <c r="U411" i="1"/>
  <c r="U565" i="1"/>
  <c r="U400" i="1"/>
  <c r="U290" i="1"/>
  <c r="U433" i="1"/>
  <c r="U334" i="1"/>
  <c r="U488" i="1"/>
  <c r="U257" i="1"/>
  <c r="U521" i="1"/>
  <c r="U444" i="1"/>
  <c r="U356" i="1"/>
  <c r="U477" i="1"/>
  <c r="U378" i="1"/>
  <c r="U268" i="1"/>
  <c r="U543" i="1"/>
  <c r="U180" i="1"/>
  <c r="U367" i="1"/>
  <c r="U279" i="1"/>
  <c r="U301" i="1"/>
  <c r="U389" i="1"/>
  <c r="U323" i="1"/>
  <c r="U191" i="1"/>
  <c r="U499" i="1"/>
  <c r="U224" i="1"/>
  <c r="U422" i="1"/>
  <c r="U246" i="1"/>
  <c r="U235" i="1"/>
  <c r="U455" i="1"/>
  <c r="U554" i="1"/>
  <c r="U466" i="1"/>
  <c r="U165" i="1"/>
  <c r="Z411" i="1"/>
  <c r="Z356" i="1"/>
  <c r="Z532" i="1"/>
  <c r="Z433" i="1"/>
  <c r="Z367" i="1"/>
  <c r="Z279" i="1"/>
  <c r="Z521" i="1"/>
  <c r="Z510" i="1"/>
  <c r="Z444" i="1"/>
  <c r="Z554" i="1"/>
  <c r="Z466" i="1"/>
  <c r="Z499" i="1"/>
  <c r="Z301" i="1"/>
  <c r="Z290" i="1"/>
  <c r="Z323" i="1"/>
  <c r="Z543" i="1"/>
  <c r="Z477" i="1"/>
  <c r="Z334" i="1"/>
  <c r="Z565" i="1"/>
  <c r="Z378" i="1"/>
  <c r="Z345" i="1"/>
  <c r="Z389" i="1"/>
  <c r="Z400" i="1"/>
  <c r="Z312" i="1"/>
  <c r="Z422" i="1"/>
  <c r="Z455" i="1"/>
  <c r="Z191" i="1"/>
  <c r="Z224" i="1"/>
  <c r="Z180" i="1"/>
  <c r="Z488" i="1"/>
  <c r="Z257" i="1"/>
  <c r="Z268" i="1"/>
  <c r="Z202" i="1"/>
  <c r="AG166" i="1"/>
  <c r="AJ166" i="1" s="1"/>
  <c r="AJ106" i="1"/>
  <c r="AQ166" i="1"/>
  <c r="AT166" i="1" s="1"/>
  <c r="AT106" i="1"/>
  <c r="AB166" i="1"/>
  <c r="AE166" i="1" s="1"/>
  <c r="AE165" i="1"/>
  <c r="F138" i="1"/>
  <c r="D166" i="1"/>
  <c r="C165" i="1"/>
  <c r="F165" i="1" s="1"/>
  <c r="F162" i="1"/>
  <c r="F167" i="1"/>
  <c r="C106" i="1"/>
  <c r="F106" i="1" s="1"/>
  <c r="F103" i="1"/>
  <c r="FT400" i="1" l="1"/>
  <c r="FT279" i="1"/>
  <c r="FT191" i="1"/>
  <c r="FT356" i="1"/>
  <c r="FT224" i="1"/>
  <c r="FT532" i="1"/>
  <c r="FT312" i="1"/>
  <c r="FT444" i="1"/>
  <c r="FE543" i="1"/>
  <c r="FE213" i="1"/>
  <c r="FE367" i="1"/>
  <c r="FE521" i="1"/>
  <c r="FE422" i="1"/>
  <c r="FE444" i="1"/>
  <c r="FE202" i="1"/>
  <c r="FE400" i="1"/>
  <c r="FE345" i="1"/>
  <c r="FE323" i="1"/>
  <c r="FE488" i="1"/>
  <c r="FE554" i="1"/>
  <c r="FE466" i="1"/>
  <c r="FT334" i="1"/>
  <c r="FT301" i="1"/>
  <c r="FT235" i="1"/>
  <c r="FT510" i="1"/>
  <c r="FT554" i="1"/>
  <c r="FT378" i="1"/>
  <c r="FT455" i="1"/>
  <c r="FT565" i="1"/>
  <c r="FT213" i="1"/>
  <c r="FT499" i="1"/>
  <c r="FT411" i="1"/>
  <c r="FT477" i="1"/>
  <c r="FT422" i="1"/>
  <c r="FT323" i="1"/>
  <c r="FT268" i="1"/>
  <c r="FT367" i="1"/>
  <c r="FT466" i="1"/>
  <c r="FT246" i="1"/>
  <c r="FT389" i="1"/>
  <c r="FT345" i="1"/>
  <c r="FT488" i="1"/>
  <c r="FT180" i="1"/>
  <c r="U431" i="1"/>
  <c r="U530" i="1"/>
  <c r="U552" i="1"/>
  <c r="U497" i="1"/>
  <c r="U464" i="1"/>
  <c r="U398" i="1"/>
  <c r="U442" i="1"/>
  <c r="U387" i="1"/>
  <c r="U288" i="1"/>
  <c r="U486" i="1"/>
  <c r="U541" i="1"/>
  <c r="U178" i="1"/>
  <c r="U189" i="1"/>
  <c r="U376" i="1"/>
  <c r="U420" i="1"/>
  <c r="U222" i="1"/>
  <c r="U409" i="1"/>
  <c r="U266" i="1"/>
  <c r="U310" i="1"/>
  <c r="U299" i="1"/>
  <c r="U519" i="1"/>
  <c r="U354" i="1"/>
  <c r="U343" i="1"/>
  <c r="U453" i="1"/>
  <c r="U277" i="1"/>
  <c r="U475" i="1"/>
  <c r="U255" i="1"/>
  <c r="U563" i="1"/>
  <c r="U233" i="1"/>
  <c r="U365" i="1"/>
  <c r="U211" i="1"/>
  <c r="U244" i="1"/>
  <c r="U321" i="1"/>
  <c r="U508" i="1"/>
  <c r="U332" i="1"/>
  <c r="AJ377" i="1"/>
  <c r="AJ498" i="1"/>
  <c r="AJ201" i="1"/>
  <c r="AJ322" i="1"/>
  <c r="AJ443" i="1"/>
  <c r="AJ399" i="1"/>
  <c r="AJ179" i="1"/>
  <c r="AJ520" i="1"/>
  <c r="AJ410" i="1"/>
  <c r="AJ333" i="1"/>
  <c r="AJ476" i="1"/>
  <c r="AJ344" i="1"/>
  <c r="AJ465" i="1"/>
  <c r="AJ388" i="1"/>
  <c r="AJ509" i="1"/>
  <c r="AJ421" i="1"/>
  <c r="AJ366" i="1"/>
  <c r="AJ311" i="1"/>
  <c r="AJ564" i="1"/>
  <c r="AJ355" i="1"/>
  <c r="AJ212" i="1"/>
  <c r="AJ454" i="1"/>
  <c r="AJ432" i="1"/>
  <c r="AJ531" i="1"/>
  <c r="AJ487" i="1"/>
  <c r="AJ300" i="1"/>
  <c r="AJ553" i="1"/>
  <c r="AJ542" i="1"/>
  <c r="AJ245" i="1"/>
  <c r="AJ289" i="1"/>
  <c r="AJ256" i="1"/>
  <c r="AJ223" i="1"/>
  <c r="AJ267" i="1"/>
  <c r="AJ278" i="1"/>
  <c r="AJ190" i="1"/>
  <c r="AJ433" i="1"/>
  <c r="AJ268" i="1"/>
  <c r="AJ543" i="1"/>
  <c r="AJ378" i="1"/>
  <c r="AJ477" i="1"/>
  <c r="AJ532" i="1"/>
  <c r="AJ389" i="1"/>
  <c r="AJ554" i="1"/>
  <c r="AJ499" i="1"/>
  <c r="AJ565" i="1"/>
  <c r="AJ345" i="1"/>
  <c r="AJ301" i="1"/>
  <c r="AJ279" i="1"/>
  <c r="AJ323" i="1"/>
  <c r="AJ400" i="1"/>
  <c r="AJ356" i="1"/>
  <c r="AJ411" i="1"/>
  <c r="AJ290" i="1"/>
  <c r="AJ466" i="1"/>
  <c r="AJ444" i="1"/>
  <c r="AJ521" i="1"/>
  <c r="AJ202" i="1"/>
  <c r="AJ224" i="1"/>
  <c r="AJ257" i="1"/>
  <c r="AJ312" i="1"/>
  <c r="AJ191" i="1"/>
  <c r="AJ510" i="1"/>
  <c r="AJ213" i="1"/>
  <c r="AJ246" i="1"/>
  <c r="AJ455" i="1"/>
  <c r="AJ180" i="1"/>
  <c r="AJ422" i="1"/>
  <c r="AJ367" i="1"/>
  <c r="AJ488" i="1"/>
  <c r="AJ334" i="1"/>
  <c r="AT179" i="1"/>
  <c r="AT267" i="1"/>
  <c r="AT476" i="1"/>
  <c r="AT553" i="1"/>
  <c r="AT509" i="1"/>
  <c r="AT223" i="1"/>
  <c r="AT432" i="1"/>
  <c r="AT300" i="1"/>
  <c r="AT234" i="1"/>
  <c r="AT465" i="1"/>
  <c r="AT190" i="1"/>
  <c r="AT212" i="1"/>
  <c r="AT531" i="1"/>
  <c r="AT498" i="1"/>
  <c r="AT487" i="1"/>
  <c r="AT454" i="1"/>
  <c r="AT333" i="1"/>
  <c r="AT410" i="1"/>
  <c r="AT520" i="1"/>
  <c r="AT278" i="1"/>
  <c r="AT443" i="1"/>
  <c r="AT421" i="1"/>
  <c r="AT355" i="1"/>
  <c r="AT399" i="1"/>
  <c r="AT201" i="1"/>
  <c r="AT564" i="1"/>
  <c r="AT289" i="1"/>
  <c r="AT344" i="1"/>
  <c r="AT377" i="1"/>
  <c r="AT245" i="1"/>
  <c r="AT366" i="1"/>
  <c r="AT388" i="1"/>
  <c r="AT542" i="1"/>
  <c r="AT322" i="1"/>
  <c r="AT311" i="1"/>
  <c r="AT301" i="1"/>
  <c r="AT422" i="1"/>
  <c r="AT532" i="1"/>
  <c r="AT565" i="1"/>
  <c r="AT268" i="1"/>
  <c r="AT312" i="1"/>
  <c r="AT356" i="1"/>
  <c r="AT290" i="1"/>
  <c r="AT345" i="1"/>
  <c r="AT554" i="1"/>
  <c r="AT444" i="1"/>
  <c r="AT367" i="1"/>
  <c r="AT400" i="1"/>
  <c r="AT466" i="1"/>
  <c r="AT323" i="1"/>
  <c r="AT521" i="1"/>
  <c r="AT488" i="1"/>
  <c r="AT477" i="1"/>
  <c r="AT543" i="1"/>
  <c r="AT411" i="1"/>
  <c r="AT279" i="1"/>
  <c r="AT389" i="1"/>
  <c r="AT510" i="1"/>
  <c r="AT378" i="1"/>
  <c r="AT334" i="1"/>
  <c r="AT433" i="1"/>
  <c r="AT246" i="1"/>
  <c r="AT235" i="1"/>
  <c r="AT455" i="1"/>
  <c r="AT224" i="1"/>
  <c r="AT202" i="1"/>
  <c r="AT499" i="1"/>
  <c r="AT180" i="1"/>
  <c r="AT191" i="1"/>
  <c r="AT213" i="1"/>
  <c r="AE541" i="1"/>
  <c r="AE497" i="1"/>
  <c r="AE343" i="1"/>
  <c r="AE475" i="1"/>
  <c r="AE354" i="1"/>
  <c r="AE332" i="1"/>
  <c r="AE233" i="1"/>
  <c r="AE387" i="1"/>
  <c r="AE508" i="1"/>
  <c r="AE266" i="1"/>
  <c r="AE277" i="1"/>
  <c r="AE398" i="1"/>
  <c r="AE420" i="1"/>
  <c r="AE178" i="1"/>
  <c r="AE552" i="1"/>
  <c r="AE431" i="1"/>
  <c r="AE211" i="1"/>
  <c r="AE310" i="1"/>
  <c r="AE442" i="1"/>
  <c r="AE321" i="1"/>
  <c r="AE453" i="1"/>
  <c r="AE486" i="1"/>
  <c r="AE288" i="1"/>
  <c r="AE255" i="1"/>
  <c r="AE365" i="1"/>
  <c r="AE563" i="1"/>
  <c r="AE299" i="1"/>
  <c r="AE376" i="1"/>
  <c r="AE189" i="1"/>
  <c r="AE200" i="1"/>
  <c r="AE244" i="1"/>
  <c r="AE530" i="1"/>
  <c r="AE409" i="1"/>
  <c r="AE464" i="1"/>
  <c r="AE519" i="1"/>
  <c r="AE356" i="1"/>
  <c r="AE334" i="1"/>
  <c r="AE543" i="1"/>
  <c r="AE411" i="1"/>
  <c r="AE290" i="1"/>
  <c r="AE433" i="1"/>
  <c r="AE532" i="1"/>
  <c r="AE257" i="1"/>
  <c r="AE191" i="1"/>
  <c r="AE345" i="1"/>
  <c r="AE477" i="1"/>
  <c r="AE510" i="1"/>
  <c r="AE246" i="1"/>
  <c r="AE279" i="1"/>
  <c r="AE554" i="1"/>
  <c r="AE565" i="1"/>
  <c r="AE378" i="1"/>
  <c r="AE312" i="1"/>
  <c r="AE301" i="1"/>
  <c r="AE444" i="1"/>
  <c r="AE367" i="1"/>
  <c r="AE389" i="1"/>
  <c r="AE466" i="1"/>
  <c r="AE521" i="1"/>
  <c r="AE400" i="1"/>
  <c r="AE422" i="1"/>
  <c r="AE323" i="1"/>
  <c r="AE213" i="1"/>
  <c r="AE235" i="1"/>
  <c r="AE180" i="1"/>
  <c r="AE499" i="1"/>
  <c r="AE202" i="1"/>
  <c r="AE488" i="1"/>
  <c r="AE455" i="1"/>
  <c r="AE268" i="1"/>
  <c r="C166" i="1"/>
  <c r="F166" i="1" s="1"/>
</calcChain>
</file>

<file path=xl/sharedStrings.xml><?xml version="1.0" encoding="utf-8"?>
<sst xmlns="http://schemas.openxmlformats.org/spreadsheetml/2006/main" count="1293" uniqueCount="249">
  <si>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</si>
  <si>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</si>
  <si>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</si>
  <si>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</si>
  <si>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</si>
  <si>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</si>
  <si>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</si>
  <si>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</si>
  <si>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</si>
  <si>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</si>
  <si>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</si>
  <si>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</si>
  <si>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</si>
  <si>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</si>
  <si>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</si>
  <si>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</si>
  <si>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</si>
  <si>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</si>
  <si>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</si>
  <si>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</si>
  <si>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</si>
  <si>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</si>
  <si>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</si>
  <si>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</si>
  <si>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</si>
  <si>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</si>
  <si>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</si>
  <si>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</si>
  <si>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</si>
  <si>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</si>
  <si>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</si>
  <si>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</si>
  <si>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</si>
  <si>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</si>
  <si>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</si>
  <si>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</si>
  <si>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</si>
  <si>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</si>
  <si>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</si>
  <si>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</si>
  <si>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</si>
  <si>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</si>
  <si>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</si>
  <si>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</si>
  <si>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</si>
  <si>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</si>
  <si>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</si>
  <si>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</si>
  <si>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</si>
  <si>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</si>
  <si>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</si>
  <si>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</si>
  <si>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</si>
  <si>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</si>
  <si>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</si>
  <si>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</si>
  <si>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</si>
  <si>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</si>
  <si>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</si>
  <si>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</si>
  <si>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</si>
  <si>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</si>
  <si>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</si>
  <si>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</si>
  <si>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</si>
  <si>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</si>
  <si>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</si>
  <si>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</si>
  <si>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</si>
  <si>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</si>
  <si>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</si>
  <si>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</si>
  <si>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</si>
  <si>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</si>
  <si>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</si>
  <si>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</si>
  <si>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</si>
  <si>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</si>
  <si>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</si>
  <si>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</si>
  <si>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</si>
  <si>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</si>
  <si>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</si>
  <si>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</si>
  <si>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</si>
  <si>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</si>
  <si>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</si>
  <si>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</si>
  <si>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</si>
  <si>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</si>
  <si>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</si>
  <si>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</si>
  <si>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</si>
  <si>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</si>
  <si>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</si>
  <si>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</si>
  <si>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</si>
  <si>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</si>
  <si>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</si>
  <si>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</si>
  <si>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</si>
  <si>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</si>
  <si>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</si>
  <si>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</si>
  <si>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</si>
  <si>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</si>
  <si>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</si>
  <si>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</si>
  <si>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</si>
  <si>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</si>
  <si>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</si>
  <si>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</si>
  <si>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</si>
  <si>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</si>
  <si>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</si>
  <si>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</si>
  <si>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</si>
  <si>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</si>
  <si>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</si>
  <si>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</si>
  <si>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</si>
  <si>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</si>
  <si>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</si>
  <si>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</si>
  <si>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</si>
  <si>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</si>
  <si>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</si>
  <si>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</si>
  <si>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</si>
  <si>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</si>
  <si>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</si>
  <si>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</si>
  <si>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</si>
  <si>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</si>
  <si>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</si>
  <si>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</si>
  <si>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</si>
  <si>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</si>
  <si>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</si>
  <si>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</si>
  <si>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</si>
  <si>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</si>
  <si>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</si>
  <si>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</si>
  <si>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</si>
  <si>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</si>
  <si>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</si>
  <si>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</si>
  <si>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</si>
  <si>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</si>
  <si>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</si>
  <si>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</si>
  <si>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</si>
  <si>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</si>
  <si>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</si>
  <si>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</si>
  <si>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</si>
  <si>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</si>
  <si>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</si>
  <si>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</si>
  <si>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</si>
  <si>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</si>
  <si>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</si>
  <si>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</si>
  <si>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</si>
  <si>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</si>
  <si>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</si>
  <si>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</si>
  <si>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</si>
  <si>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</si>
  <si>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</si>
  <si>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</si>
  <si>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</si>
  <si>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</si>
  <si>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</si>
  <si>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</si>
  <si>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</si>
  <si>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</si>
  <si>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</si>
  <si>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</si>
  <si>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</si>
  <si>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</si>
  <si>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</si>
  <si>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</si>
  <si>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</si>
  <si>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</si>
  <si>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</si>
  <si>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</si>
  <si>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</si>
  <si>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</si>
  <si>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</si>
  <si>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</si>
  <si>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</si>
  <si>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</si>
  <si>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</si>
  <si>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</si>
  <si>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</si>
  <si>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</si>
  <si>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</si>
  <si>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</si>
  <si>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</si>
  <si>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</si>
  <si>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</si>
  <si>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</si>
  <si>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</si>
  <si>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</si>
  <si>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</si>
  <si>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slane3470</t>
  </si>
  <si>
    <t>.celari</t>
  </si>
  <si>
    <t>Usernames</t>
  </si>
  <si>
    <t>dadude</t>
  </si>
  <si>
    <t>draconic_lord</t>
  </si>
  <si>
    <t>thereligionofpeanut</t>
  </si>
  <si>
    <t>orourkustortoise</t>
  </si>
  <si>
    <t>toomai1970</t>
  </si>
  <si>
    <t>lazymech.</t>
  </si>
  <si>
    <t>antinium1312.</t>
  </si>
  <si>
    <t>brotatornator666</t>
  </si>
  <si>
    <t>ianoid</t>
  </si>
  <si>
    <t>roobinski</t>
  </si>
  <si>
    <t>bossors</t>
  </si>
  <si>
    <t>tsarplatinum</t>
  </si>
  <si>
    <t>ordainedtick266</t>
  </si>
  <si>
    <t>hamsternaut</t>
  </si>
  <si>
    <t>.defize</t>
  </si>
  <si>
    <t>brob5046</t>
  </si>
  <si>
    <t>benign_skies</t>
  </si>
  <si>
    <t>cgotnr</t>
  </si>
  <si>
    <t>seventyseven_77</t>
  </si>
  <si>
    <t>trees17</t>
  </si>
  <si>
    <t>jetotavio</t>
  </si>
  <si>
    <t>livburrowss</t>
  </si>
  <si>
    <t>sincerenumber82</t>
  </si>
  <si>
    <t>withasideofsalt</t>
  </si>
  <si>
    <t>thorijus</t>
  </si>
  <si>
    <t>arcticreaper91</t>
  </si>
  <si>
    <t>theytookawaymyzalgo</t>
  </si>
  <si>
    <t>aero1908</t>
  </si>
  <si>
    <t>mrshuvaluva</t>
  </si>
  <si>
    <t>rashorras</t>
  </si>
  <si>
    <t>Lewis</t>
  </si>
  <si>
    <t>rainbowhead</t>
  </si>
  <si>
    <t>Ben</t>
  </si>
  <si>
    <t>Josh</t>
  </si>
  <si>
    <t>joshuab0681</t>
  </si>
  <si>
    <t>Demon Total</t>
  </si>
  <si>
    <t>Chambermaid</t>
  </si>
  <si>
    <t>Mathematician</t>
  </si>
  <si>
    <t>Fearmonger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</si>
</sst>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B56" activePane="bottomRight" state="frozen"/>
      <selection pane="topRight" activeCell="B1" sqref="B1"/>
      <selection pane="bottomLeft" activeCell="A5" sqref="A5"/>
      <selection pane="bottomRight" activeCell="A118" sqref="A118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92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172</v>
      </c>
      <c r="CL1" s="4"/>
      <c r="CM1" s="4"/>
      <c r="CN1" s="4"/>
      <c r="CO1" s="4"/>
      <c r="CP1" s="4" t="s">
        <v>243</v>
      </c>
      <c r="CQ1" s="4"/>
      <c r="CR1" s="4"/>
      <c r="CS1" s="4"/>
      <c r="CT1" s="4"/>
      <c r="CU1" s="4" t="s">
        <v>240</v>
      </c>
      <c r="CV1" s="4"/>
      <c r="CW1" s="4"/>
      <c r="CX1" s="4"/>
      <c r="CY1" s="4"/>
      <c r="CZ1" s="4" t="s">
        <v>242</v>
      </c>
      <c r="DA1" s="4"/>
      <c r="DB1" s="4"/>
      <c r="DC1" s="4"/>
      <c r="DD1" s="4"/>
      <c r="DE1" s="4" t="s">
        <v>17</v>
      </c>
      <c r="DF1" s="4"/>
      <c r="DG1" s="4"/>
      <c r="DH1" s="4"/>
      <c r="DI1" s="4"/>
      <c r="DJ1" s="4" t="s">
        <v>18</v>
      </c>
      <c r="DK1" s="4"/>
      <c r="DL1" s="4"/>
      <c r="DM1" s="4"/>
      <c r="DN1" s="4"/>
      <c r="DO1" s="4" t="s">
        <v>19</v>
      </c>
      <c r="DP1" s="4"/>
      <c r="DQ1" s="4"/>
      <c r="DR1" s="4"/>
      <c r="DS1" s="4"/>
      <c r="DT1" s="4" t="s">
        <v>20</v>
      </c>
      <c r="DU1" s="4"/>
      <c r="DV1" s="4"/>
      <c r="DW1" s="4"/>
      <c r="DX1" s="4"/>
      <c r="DY1" s="4" t="s">
        <v>21</v>
      </c>
      <c r="DZ1" s="4"/>
      <c r="EA1" s="4"/>
      <c r="EB1" s="4"/>
      <c r="EC1" s="4"/>
      <c r="ED1" s="4" t="s">
        <v>22</v>
      </c>
      <c r="EE1" s="4"/>
      <c r="EF1" s="4"/>
      <c r="EG1" s="4"/>
      <c r="EH1" s="4"/>
      <c r="EI1" s="4" t="s">
        <v>23</v>
      </c>
      <c r="EJ1" s="4"/>
      <c r="EK1" s="4"/>
      <c r="EL1" s="4"/>
      <c r="EM1" s="4"/>
      <c r="EN1" s="4" t="s">
        <v>24</v>
      </c>
      <c r="EO1" s="4"/>
      <c r="EP1" s="4"/>
      <c r="EQ1" s="4"/>
      <c r="ER1" s="4"/>
      <c r="ES1" s="4" t="s">
        <v>169</v>
      </c>
      <c r="ET1" s="4"/>
      <c r="EU1" s="4"/>
      <c r="EV1" s="4"/>
      <c r="EW1" s="4"/>
      <c r="EX1" s="4" t="s">
        <v>180</v>
      </c>
      <c r="EY1" s="4"/>
      <c r="EZ1" s="4"/>
      <c r="FA1" s="4"/>
      <c r="FB1" s="4"/>
      <c r="FC1" s="4" t="s">
        <v>181</v>
      </c>
      <c r="FD1" s="4"/>
      <c r="FE1" s="4"/>
      <c r="FF1" s="4"/>
      <c r="FG1" s="4"/>
      <c r="FH1" s="4" t="s">
        <v>186</v>
      </c>
      <c r="FI1" s="4"/>
      <c r="FJ1" s="4"/>
      <c r="FK1" s="4"/>
      <c r="FL1" s="4"/>
      <c r="FM1" s="4" t="s">
        <v>187</v>
      </c>
      <c r="FN1" s="4"/>
      <c r="FO1" s="4"/>
      <c r="FP1" s="4"/>
      <c r="FQ1" s="4"/>
      <c r="FR1" s="4" t="s">
        <v>188</v>
      </c>
      <c r="FS1" s="4"/>
      <c r="FT1" s="4"/>
      <c r="FU1" s="4"/>
      <c r="FV1" s="4"/>
      <c r="FW1" s="4" t="s">
        <v>198</v>
      </c>
      <c r="FX1" s="4"/>
      <c r="FY1" s="4"/>
      <c r="FZ1" s="4"/>
      <c r="GA1" s="4"/>
      <c r="GB1" s="4" t="s">
        <v>177</v>
      </c>
      <c r="GC1" s="4"/>
      <c r="GD1" s="4"/>
      <c r="GE1" s="3" t="s">
        <v>199</v>
      </c>
    </row>
    <row r="2" spans="1:187" x14ac:dyDescent="0.25">
      <c r="A2" s="4" t="s">
        <v>209</v>
      </c>
      <c r="B2" s="4"/>
      <c r="C2" s="4"/>
      <c r="D2" s="4"/>
      <c r="E2" s="4"/>
      <c r="F2" s="4"/>
      <c r="G2" s="4"/>
      <c r="H2" s="4"/>
      <c r="I2" s="4" t="s">
        <v>207</v>
      </c>
      <c r="J2" s="4"/>
      <c r="K2" s="4"/>
      <c r="L2" s="4"/>
      <c r="M2" s="4"/>
      <c r="N2" s="4" t="s">
        <v>208</v>
      </c>
      <c r="O2" s="4"/>
      <c r="P2" s="4"/>
      <c r="Q2" s="4"/>
      <c r="R2" s="4"/>
      <c r="S2" s="4" t="s">
        <v>210</v>
      </c>
      <c r="T2" s="4"/>
      <c r="U2" s="4"/>
      <c r="V2" s="4"/>
      <c r="W2" s="4"/>
      <c r="X2" s="4" t="s">
        <v>211</v>
      </c>
      <c r="Y2" s="4"/>
      <c r="Z2" s="4"/>
      <c r="AA2" s="4"/>
      <c r="AB2" s="4"/>
      <c r="AC2" s="4" t="s">
        <v>212</v>
      </c>
      <c r="AD2" s="4"/>
      <c r="AE2" s="4"/>
      <c r="AF2" s="4"/>
      <c r="AG2" s="4"/>
      <c r="AH2" s="4" t="s">
        <v>213</v>
      </c>
      <c r="AI2" s="4"/>
      <c r="AJ2" s="4"/>
      <c r="AK2" s="4"/>
      <c r="AL2" s="4"/>
      <c r="AM2" s="4" t="s">
        <v>214</v>
      </c>
      <c r="AN2" s="4"/>
      <c r="AO2" s="4"/>
      <c r="AP2" s="4"/>
      <c r="AQ2" s="4"/>
      <c r="AR2" s="4" t="s">
        <v>215</v>
      </c>
      <c r="AS2" s="4"/>
      <c r="AT2" s="4"/>
      <c r="AU2" s="4"/>
      <c r="AV2" s="4"/>
      <c r="AW2" s="4" t="s">
        <v>216</v>
      </c>
      <c r="AX2" s="4"/>
      <c r="AY2" s="4"/>
      <c r="AZ2" s="4"/>
      <c r="BA2" s="4"/>
      <c r="BB2" s="4" t="s">
        <v>217</v>
      </c>
      <c r="BC2" s="4"/>
      <c r="BD2" s="4"/>
      <c r="BE2" s="4"/>
      <c r="BF2" s="4"/>
      <c r="BG2" s="4" t="s">
        <v>218</v>
      </c>
      <c r="BH2" s="4"/>
      <c r="BI2" s="4"/>
      <c r="BJ2" s="4"/>
      <c r="BK2" s="4"/>
      <c r="BL2" s="4" t="s">
        <v>219</v>
      </c>
      <c r="BM2" s="4"/>
      <c r="BN2" s="4"/>
      <c r="BO2" s="4"/>
      <c r="BP2" s="4"/>
      <c r="BQ2" s="4" t="s">
        <v>220</v>
      </c>
      <c r="BR2" s="4"/>
      <c r="BS2" s="4"/>
      <c r="BT2" s="4"/>
      <c r="BU2" s="4"/>
      <c r="BV2" s="4" t="s">
        <v>221</v>
      </c>
      <c r="BW2" s="4"/>
      <c r="BX2" s="4"/>
      <c r="BY2" s="4"/>
      <c r="BZ2" s="4"/>
      <c r="CA2" s="4" t="s">
        <v>222</v>
      </c>
      <c r="CB2" s="4"/>
      <c r="CC2" s="4"/>
      <c r="CD2" s="4"/>
      <c r="CE2" s="4"/>
      <c r="CF2" s="4" t="s">
        <v>223</v>
      </c>
      <c r="CG2" s="4"/>
      <c r="CH2" s="4"/>
      <c r="CI2" s="4"/>
      <c r="CJ2" s="4"/>
      <c r="CK2" s="4" t="s">
        <v>224</v>
      </c>
      <c r="CL2" s="4"/>
      <c r="CM2" s="4"/>
      <c r="CN2" s="4"/>
      <c r="CO2" s="4"/>
      <c r="CP2" s="4" t="s">
        <v>244</v>
      </c>
      <c r="CQ2" s="4"/>
      <c r="CR2" s="4"/>
      <c r="CS2" s="4"/>
      <c r="CT2" s="4"/>
      <c r="CU2" s="4" t="s">
        <v>241</v>
      </c>
      <c r="CV2" s="4"/>
      <c r="CW2" s="4"/>
      <c r="CX2" s="4"/>
      <c r="CY2" s="4"/>
      <c r="CZ2" s="4" t="s">
        <v>225</v>
      </c>
      <c r="DA2" s="4"/>
      <c r="DB2" s="4"/>
      <c r="DC2" s="4"/>
      <c r="DD2" s="4"/>
      <c r="DE2" s="4" t="s">
        <v>226</v>
      </c>
      <c r="DF2" s="4"/>
      <c r="DG2" s="4"/>
      <c r="DH2" s="4"/>
      <c r="DI2" s="4"/>
      <c r="DJ2" s="4" t="s">
        <v>227</v>
      </c>
      <c r="DK2" s="4"/>
      <c r="DL2" s="4"/>
      <c r="DM2" s="4"/>
      <c r="DN2" s="4"/>
      <c r="DO2" s="4" t="s">
        <v>228</v>
      </c>
      <c r="DP2" s="4"/>
      <c r="DQ2" s="4"/>
      <c r="DR2" s="4"/>
      <c r="DS2" s="4"/>
      <c r="DT2" s="4" t="s">
        <v>229</v>
      </c>
      <c r="DU2" s="4"/>
      <c r="DV2" s="4"/>
      <c r="DW2" s="4"/>
      <c r="DX2" s="4"/>
      <c r="DY2" s="4" t="s">
        <v>230</v>
      </c>
      <c r="DZ2" s="4"/>
      <c r="EA2" s="4"/>
      <c r="EB2" s="4"/>
      <c r="EC2" s="4"/>
      <c r="ED2" s="4" t="s">
        <v>231</v>
      </c>
      <c r="EE2" s="4"/>
      <c r="EF2" s="4"/>
      <c r="EG2" s="4"/>
      <c r="EH2" s="4"/>
      <c r="EI2" s="4" t="s">
        <v>232</v>
      </c>
      <c r="EJ2" s="4"/>
      <c r="EK2" s="4"/>
      <c r="EL2" s="4"/>
      <c r="EM2" s="4"/>
      <c r="EN2" s="4" t="s">
        <v>233</v>
      </c>
      <c r="EO2" s="4"/>
      <c r="EP2" s="4"/>
      <c r="EQ2" s="4"/>
      <c r="ER2" s="4"/>
      <c r="ES2" s="4" t="s">
        <v>234</v>
      </c>
      <c r="ET2" s="4"/>
      <c r="EU2" s="4"/>
      <c r="EV2" s="4"/>
      <c r="EW2" s="4"/>
      <c r="EX2" s="4" t="s">
        <v>235</v>
      </c>
      <c r="EY2" s="4"/>
      <c r="EZ2" s="4"/>
      <c r="FA2" s="4"/>
      <c r="FB2" s="4"/>
      <c r="FC2" s="4" t="s">
        <v>236</v>
      </c>
      <c r="FD2" s="4"/>
      <c r="FE2" s="4"/>
      <c r="FF2" s="4"/>
      <c r="FG2" s="4"/>
      <c r="FH2" s="4" t="s">
        <v>237</v>
      </c>
      <c r="FI2" s="4"/>
      <c r="FJ2" s="4"/>
      <c r="FK2" s="4"/>
      <c r="FL2" s="4"/>
      <c r="FM2" s="4" t="s">
        <v>238</v>
      </c>
      <c r="FN2" s="4"/>
      <c r="FO2" s="4"/>
      <c r="FP2" s="4"/>
      <c r="FQ2" s="4"/>
      <c r="FR2" s="4" t="s">
        <v>239</v>
      </c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25</v>
      </c>
      <c r="B4" s="2"/>
      <c r="C4" s="1" t="s">
        <v>93</v>
      </c>
      <c r="D4" s="1" t="s">
        <v>94</v>
      </c>
      <c r="E4" s="1" t="s">
        <v>168</v>
      </c>
      <c r="F4" s="1" t="s">
        <v>96</v>
      </c>
      <c r="G4" s="2"/>
      <c r="H4" s="1" t="s">
        <v>93</v>
      </c>
      <c r="I4" s="1" t="s">
        <v>94</v>
      </c>
      <c r="J4" s="1" t="s">
        <v>168</v>
      </c>
      <c r="K4" s="1" t="s">
        <v>96</v>
      </c>
      <c r="L4" s="2"/>
      <c r="M4" s="1" t="s">
        <v>93</v>
      </c>
      <c r="N4" s="1" t="s">
        <v>94</v>
      </c>
      <c r="O4" s="1" t="s">
        <v>168</v>
      </c>
      <c r="P4" s="1" t="s">
        <v>96</v>
      </c>
      <c r="Q4" s="2"/>
      <c r="R4" s="1" t="s">
        <v>93</v>
      </c>
      <c r="S4" s="1" t="s">
        <v>94</v>
      </c>
      <c r="T4" s="1" t="s">
        <v>168</v>
      </c>
      <c r="U4" s="1" t="s">
        <v>96</v>
      </c>
      <c r="V4" s="2"/>
      <c r="W4" s="1" t="s">
        <v>93</v>
      </c>
      <c r="X4" s="1" t="s">
        <v>94</v>
      </c>
      <c r="Y4" s="1" t="s">
        <v>168</v>
      </c>
      <c r="Z4" s="1" t="s">
        <v>96</v>
      </c>
      <c r="AA4" s="2"/>
      <c r="AB4" s="1" t="s">
        <v>93</v>
      </c>
      <c r="AC4" s="1" t="s">
        <v>94</v>
      </c>
      <c r="AD4" s="1" t="s">
        <v>168</v>
      </c>
      <c r="AE4" s="1" t="s">
        <v>96</v>
      </c>
      <c r="AF4" s="2"/>
      <c r="AG4" s="1" t="s">
        <v>93</v>
      </c>
      <c r="AH4" s="1" t="s">
        <v>94</v>
      </c>
      <c r="AI4" s="1" t="s">
        <v>168</v>
      </c>
      <c r="AJ4" s="1" t="s">
        <v>96</v>
      </c>
      <c r="AK4" s="2"/>
      <c r="AL4" s="1" t="s">
        <v>93</v>
      </c>
      <c r="AM4" s="1" t="s">
        <v>94</v>
      </c>
      <c r="AN4" s="1" t="s">
        <v>168</v>
      </c>
      <c r="AO4" s="1" t="s">
        <v>96</v>
      </c>
      <c r="AP4" s="2"/>
      <c r="AQ4" s="1" t="s">
        <v>93</v>
      </c>
      <c r="AR4" s="1" t="s">
        <v>94</v>
      </c>
      <c r="AS4" s="1" t="s">
        <v>168</v>
      </c>
      <c r="AT4" s="1" t="s">
        <v>96</v>
      </c>
      <c r="AU4" s="2"/>
      <c r="AV4" s="1" t="s">
        <v>93</v>
      </c>
      <c r="AW4" s="1" t="s">
        <v>94</v>
      </c>
      <c r="AX4" s="1" t="s">
        <v>168</v>
      </c>
      <c r="AY4" s="1" t="s">
        <v>96</v>
      </c>
      <c r="AZ4" s="2"/>
      <c r="BA4" s="1" t="s">
        <v>93</v>
      </c>
      <c r="BB4" s="1" t="s">
        <v>94</v>
      </c>
      <c r="BC4" s="1" t="s">
        <v>168</v>
      </c>
      <c r="BD4" s="1" t="s">
        <v>96</v>
      </c>
      <c r="BE4" s="2"/>
      <c r="BF4" s="1" t="s">
        <v>93</v>
      </c>
      <c r="BG4" s="1" t="s">
        <v>94</v>
      </c>
      <c r="BH4" s="1" t="s">
        <v>168</v>
      </c>
      <c r="BI4" s="1" t="s">
        <v>96</v>
      </c>
      <c r="BJ4" s="2"/>
      <c r="BK4" s="1" t="s">
        <v>93</v>
      </c>
      <c r="BL4" s="1" t="s">
        <v>94</v>
      </c>
      <c r="BM4" s="1" t="s">
        <v>168</v>
      </c>
      <c r="BN4" s="1" t="s">
        <v>96</v>
      </c>
      <c r="BO4" s="2"/>
      <c r="BP4" s="1" t="s">
        <v>93</v>
      </c>
      <c r="BQ4" s="1" t="s">
        <v>94</v>
      </c>
      <c r="BR4" s="1" t="s">
        <v>168</v>
      </c>
      <c r="BS4" s="1" t="s">
        <v>96</v>
      </c>
      <c r="BT4" s="2"/>
      <c r="BU4" s="1" t="s">
        <v>93</v>
      </c>
      <c r="BV4" s="1" t="s">
        <v>94</v>
      </c>
      <c r="BW4" s="1" t="s">
        <v>168</v>
      </c>
      <c r="BX4" s="1" t="s">
        <v>96</v>
      </c>
      <c r="BY4" s="2"/>
      <c r="BZ4" s="1" t="s">
        <v>93</v>
      </c>
      <c r="CA4" s="1" t="s">
        <v>94</v>
      </c>
      <c r="CB4" s="1" t="s">
        <v>168</v>
      </c>
      <c r="CC4" s="1" t="s">
        <v>96</v>
      </c>
      <c r="CD4" s="2"/>
      <c r="CE4" s="1" t="s">
        <v>93</v>
      </c>
      <c r="CF4" s="1" t="s">
        <v>94</v>
      </c>
      <c r="CG4" s="1" t="s">
        <v>168</v>
      </c>
      <c r="CH4" s="1" t="s">
        <v>96</v>
      </c>
      <c r="CI4" s="2"/>
      <c r="CJ4" s="1" t="s">
        <v>93</v>
      </c>
      <c r="CK4" s="1" t="s">
        <v>94</v>
      </c>
      <c r="CL4" s="1" t="s">
        <v>168</v>
      </c>
      <c r="CM4" s="1" t="s">
        <v>96</v>
      </c>
      <c r="CN4" s="2"/>
      <c r="CO4" s="1" t="s">
        <v>93</v>
      </c>
      <c r="CP4" s="1" t="s">
        <v>94</v>
      </c>
      <c r="CQ4" s="1" t="s">
        <v>168</v>
      </c>
      <c r="CR4" s="1" t="s">
        <v>96</v>
      </c>
      <c r="CS4" s="2"/>
      <c r="CT4" s="1" t="s">
        <v>93</v>
      </c>
      <c r="CU4" s="1" t="s">
        <v>94</v>
      </c>
      <c r="CV4" s="1" t="s">
        <v>168</v>
      </c>
      <c r="CW4" s="1" t="s">
        <v>96</v>
      </c>
      <c r="CX4" s="2"/>
      <c r="CY4" s="1" t="s">
        <v>93</v>
      </c>
      <c r="CZ4" s="1" t="s">
        <v>94</v>
      </c>
      <c r="DA4" s="1" t="s">
        <v>168</v>
      </c>
      <c r="DB4" s="1" t="s">
        <v>96</v>
      </c>
      <c r="DC4" s="2"/>
      <c r="DD4" s="1" t="s">
        <v>93</v>
      </c>
      <c r="DE4" s="1" t="s">
        <v>94</v>
      </c>
      <c r="DF4" s="1" t="s">
        <v>168</v>
      </c>
      <c r="DG4" s="1" t="s">
        <v>96</v>
      </c>
      <c r="DH4" s="2"/>
      <c r="DI4" s="1" t="s">
        <v>93</v>
      </c>
      <c r="DJ4" s="1" t="s">
        <v>94</v>
      </c>
      <c r="DK4" s="1" t="s">
        <v>168</v>
      </c>
      <c r="DL4" s="1" t="s">
        <v>96</v>
      </c>
      <c r="DM4" s="2"/>
      <c r="DN4" s="1" t="s">
        <v>93</v>
      </c>
      <c r="DO4" s="1" t="s">
        <v>94</v>
      </c>
      <c r="DP4" s="1" t="s">
        <v>168</v>
      </c>
      <c r="DQ4" s="1" t="s">
        <v>96</v>
      </c>
      <c r="DR4" s="2"/>
      <c r="DS4" s="1" t="s">
        <v>93</v>
      </c>
      <c r="DT4" s="1" t="s">
        <v>94</v>
      </c>
      <c r="DU4" s="1" t="s">
        <v>168</v>
      </c>
      <c r="DV4" s="1" t="s">
        <v>96</v>
      </c>
      <c r="DW4" s="2"/>
      <c r="DX4" s="1" t="s">
        <v>93</v>
      </c>
      <c r="DY4" s="1" t="s">
        <v>94</v>
      </c>
      <c r="DZ4" s="1" t="s">
        <v>168</v>
      </c>
      <c r="EA4" s="1" t="s">
        <v>96</v>
      </c>
      <c r="EB4" s="2"/>
      <c r="EC4" s="1" t="s">
        <v>93</v>
      </c>
      <c r="ED4" s="1" t="s">
        <v>94</v>
      </c>
      <c r="EE4" s="1" t="s">
        <v>168</v>
      </c>
      <c r="EF4" s="1" t="s">
        <v>96</v>
      </c>
      <c r="EG4" s="2"/>
      <c r="EH4" s="1" t="s">
        <v>93</v>
      </c>
      <c r="EI4" s="1" t="s">
        <v>94</v>
      </c>
      <c r="EJ4" s="1" t="s">
        <v>168</v>
      </c>
      <c r="EK4" s="1" t="s">
        <v>96</v>
      </c>
      <c r="EL4" s="2"/>
      <c r="EM4" s="1" t="s">
        <v>93</v>
      </c>
      <c r="EN4" s="1" t="s">
        <v>94</v>
      </c>
      <c r="EO4" s="1" t="s">
        <v>168</v>
      </c>
      <c r="EP4" s="1" t="s">
        <v>96</v>
      </c>
      <c r="EQ4" s="2"/>
      <c r="ER4" s="1" t="s">
        <v>93</v>
      </c>
      <c r="ES4" s="1" t="s">
        <v>94</v>
      </c>
      <c r="ET4" s="1" t="s">
        <v>168</v>
      </c>
      <c r="EU4" s="1" t="s">
        <v>96</v>
      </c>
      <c r="EV4" s="2"/>
      <c r="EW4" s="1" t="s">
        <v>93</v>
      </c>
      <c r="EX4" s="1" t="s">
        <v>94</v>
      </c>
      <c r="EY4" s="1" t="s">
        <v>168</v>
      </c>
      <c r="EZ4" s="1" t="s">
        <v>96</v>
      </c>
      <c r="FA4" s="2"/>
      <c r="FB4" s="1" t="s">
        <v>93</v>
      </c>
      <c r="FC4" s="1" t="s">
        <v>94</v>
      </c>
      <c r="FD4" s="1" t="s">
        <v>168</v>
      </c>
      <c r="FE4" s="1" t="s">
        <v>96</v>
      </c>
      <c r="FF4" s="2"/>
      <c r="FG4" s="1" t="s">
        <v>93</v>
      </c>
      <c r="FH4" s="1" t="s">
        <v>94</v>
      </c>
      <c r="FI4" s="1" t="s">
        <v>168</v>
      </c>
      <c r="FJ4" s="1" t="s">
        <v>96</v>
      </c>
      <c r="FK4" s="2"/>
      <c r="FL4" s="1" t="s">
        <v>93</v>
      </c>
      <c r="FM4" s="1" t="s">
        <v>94</v>
      </c>
      <c r="FN4" s="1" t="s">
        <v>168</v>
      </c>
      <c r="FO4" s="1" t="s">
        <v>96</v>
      </c>
      <c r="FP4" s="2"/>
      <c r="FQ4" s="1" t="s">
        <v>93</v>
      </c>
      <c r="FR4" s="1" t="s">
        <v>94</v>
      </c>
      <c r="FS4" s="1" t="s">
        <v>168</v>
      </c>
      <c r="FT4" s="1" t="s">
        <v>96</v>
      </c>
      <c r="FU4" s="2"/>
      <c r="FV4" s="1" t="s">
        <v>93</v>
      </c>
      <c r="FW4" s="1" t="s">
        <v>94</v>
      </c>
      <c r="FX4" s="1" t="s">
        <v>168</v>
      </c>
      <c r="FY4" s="1" t="s">
        <v>96</v>
      </c>
      <c r="FZ4" s="2"/>
      <c r="GA4" s="1" t="s">
        <v>93</v>
      </c>
      <c r="GB4" s="1" t="s">
        <v>94</v>
      </c>
      <c r="GC4" s="1" t="s">
        <v>168</v>
      </c>
      <c r="GD4" s="1" t="s">
        <v>96</v>
      </c>
      <c r="GE4" s="3"/>
    </row>
    <row r="5" spans="1:187" x14ac:dyDescent="0.25">
      <c r="A5" s="1" t="s">
        <v>26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28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27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29</v>
      </c>
      <c r="B8" s="2"/>
      <c r="C8" s="1">
        <f t="shared" si="0"/>
        <v>3</v>
      </c>
      <c r="D8" s="1">
        <f t="shared" si="1"/>
        <v>1</v>
      </c>
      <c r="E8" s="1">
        <f t="shared" si="2"/>
        <v>2</v>
      </c>
      <c r="F8" s="1" t="str">
        <f t="shared" si="3"/>
        <v>33.33%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1</v>
      </c>
      <c r="X8" s="1">
        <v>0</v>
      </c>
      <c r="Y8" s="1">
        <v>1</v>
      </c>
      <c r="Z8" s="1" t="str">
        <f t="shared" si="11"/>
        <v>0%</v>
      </c>
      <c r="AA8" s="2"/>
      <c r="AB8" s="1">
        <f t="shared" si="12"/>
        <v>1</v>
      </c>
      <c r="AC8" s="1">
        <v>0</v>
      </c>
      <c r="AD8" s="1">
        <v>1</v>
      </c>
      <c r="AE8" s="1" t="str">
        <f t="shared" si="13"/>
        <v>0%</v>
      </c>
      <c r="AF8" s="2"/>
      <c r="AG8" s="1">
        <f t="shared" si="14"/>
        <v>1</v>
      </c>
      <c r="AH8" s="1">
        <v>1</v>
      </c>
      <c r="AI8" s="1">
        <v>0</v>
      </c>
      <c r="AJ8" s="1" t="str">
        <f t="shared" si="15"/>
        <v>100%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2</v>
      </c>
      <c r="FC8" s="1">
        <v>1</v>
      </c>
      <c r="FD8" s="1">
        <v>1</v>
      </c>
      <c r="FE8" s="1" t="str">
        <f t="shared" si="65"/>
        <v>50%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30</v>
      </c>
      <c r="B9" s="2"/>
      <c r="C9" s="1">
        <f t="shared" si="0"/>
        <v>6</v>
      </c>
      <c r="D9" s="1">
        <f t="shared" si="1"/>
        <v>5</v>
      </c>
      <c r="E9" s="1">
        <f t="shared" si="2"/>
        <v>1</v>
      </c>
      <c r="F9" s="1" t="str">
        <f t="shared" si="3"/>
        <v>83.33%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3</v>
      </c>
      <c r="S9" s="1">
        <v>2</v>
      </c>
      <c r="T9" s="1">
        <v>1</v>
      </c>
      <c r="U9" s="1" t="str">
        <f t="shared" si="9"/>
        <v>66.67%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1</v>
      </c>
      <c r="AC9" s="1">
        <v>1</v>
      </c>
      <c r="AD9" s="1">
        <v>0</v>
      </c>
      <c r="AE9" s="1" t="str">
        <f t="shared" si="13"/>
        <v>100%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1</v>
      </c>
      <c r="FC9" s="1">
        <v>0</v>
      </c>
      <c r="FD9" s="1">
        <v>1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31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32</v>
      </c>
      <c r="B11" s="2"/>
      <c r="C11" s="1">
        <f t="shared" si="0"/>
        <v>5</v>
      </c>
      <c r="D11" s="1">
        <f t="shared" si="1"/>
        <v>2</v>
      </c>
      <c r="E11" s="1">
        <f t="shared" si="2"/>
        <v>3</v>
      </c>
      <c r="F11" s="1" t="str">
        <f t="shared" si="3"/>
        <v>40%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2</v>
      </c>
      <c r="S11" s="1">
        <v>1</v>
      </c>
      <c r="T11" s="1">
        <v>1</v>
      </c>
      <c r="U11" s="1" t="str">
        <f t="shared" si="9"/>
        <v>50%</v>
      </c>
      <c r="V11" s="2"/>
      <c r="W11" s="1">
        <f t="shared" si="10"/>
        <v>1</v>
      </c>
      <c r="X11" s="1">
        <v>0</v>
      </c>
      <c r="Y11" s="1">
        <v>1</v>
      </c>
      <c r="Z11" s="1" t="str">
        <f t="shared" si="11"/>
        <v>0%</v>
      </c>
      <c r="AA11" s="2"/>
      <c r="AB11" s="1">
        <f t="shared" si="12"/>
        <v>1</v>
      </c>
      <c r="AC11" s="1">
        <v>0</v>
      </c>
      <c r="AD11" s="1">
        <v>1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2</v>
      </c>
      <c r="FR11" s="1">
        <v>0</v>
      </c>
      <c r="FS11" s="1">
        <v>2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33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34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35</v>
      </c>
      <c r="B14" s="2"/>
      <c r="C14" s="1">
        <f t="shared" si="0"/>
        <v>2</v>
      </c>
      <c r="D14" s="1">
        <f t="shared" si="1"/>
        <v>2</v>
      </c>
      <c r="E14" s="1">
        <f t="shared" si="2"/>
        <v>0</v>
      </c>
      <c r="F14" s="1" t="str">
        <f t="shared" si="3"/>
        <v>100%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1</v>
      </c>
      <c r="X14" s="1">
        <v>1</v>
      </c>
      <c r="Y14" s="1">
        <v>0</v>
      </c>
      <c r="Z14" s="1" t="str">
        <f t="shared" si="11"/>
        <v>100%</v>
      </c>
      <c r="AA14" s="2"/>
      <c r="AB14" s="1">
        <f t="shared" si="12"/>
        <v>1</v>
      </c>
      <c r="AC14" s="1">
        <v>1</v>
      </c>
      <c r="AD14" s="1">
        <v>0</v>
      </c>
      <c r="AE14" s="1" t="str">
        <f t="shared" si="13"/>
        <v>100%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1</v>
      </c>
      <c r="FR14" s="1">
        <v>1</v>
      </c>
      <c r="FS14" s="1">
        <v>0</v>
      </c>
      <c r="FT14" s="1" t="str">
        <f t="shared" si="71"/>
        <v>100%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246</v>
      </c>
      <c r="B15" s="2"/>
      <c r="C15" s="1">
        <f t="shared" si="0"/>
        <v>1</v>
      </c>
      <c r="D15" s="1">
        <f t="shared" si="1"/>
        <v>1</v>
      </c>
      <c r="E15" s="1">
        <f t="shared" si="2"/>
        <v>0</v>
      </c>
      <c r="F15" s="1" t="str">
        <f t="shared" si="3"/>
        <v>100%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1</v>
      </c>
      <c r="AH15" s="1">
        <v>1</v>
      </c>
      <c r="AI15" s="1">
        <v>0</v>
      </c>
      <c r="AJ15" s="1" t="str">
        <f t="shared" si="15"/>
        <v>100%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36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37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38</v>
      </c>
      <c r="B18" s="2"/>
      <c r="C18" s="1">
        <f t="shared" si="0"/>
        <v>3</v>
      </c>
      <c r="D18" s="1">
        <f t="shared" si="1"/>
        <v>2</v>
      </c>
      <c r="E18" s="1">
        <f t="shared" si="2"/>
        <v>1</v>
      </c>
      <c r="F18" s="1" t="str">
        <f t="shared" si="3"/>
        <v>66.67%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1</v>
      </c>
      <c r="AC18" s="1">
        <v>1</v>
      </c>
      <c r="AD18" s="1">
        <v>0</v>
      </c>
      <c r="AE18" s="1" t="str">
        <f t="shared" si="13"/>
        <v>100%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1</v>
      </c>
      <c r="AR18" s="1">
        <v>0</v>
      </c>
      <c r="AS18" s="1">
        <v>1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39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40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41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42</v>
      </c>
      <c r="B22" s="2"/>
      <c r="C22" s="1">
        <f t="shared" si="0"/>
        <v>11</v>
      </c>
      <c r="D22" s="1">
        <f t="shared" si="1"/>
        <v>11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3</v>
      </c>
      <c r="X22" s="1">
        <v>3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43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44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45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46</v>
      </c>
      <c r="B26" s="2"/>
      <c r="C26" s="1">
        <f t="shared" si="0"/>
        <v>5</v>
      </c>
      <c r="D26" s="1">
        <f t="shared" si="1"/>
        <v>1</v>
      </c>
      <c r="E26" s="1">
        <f t="shared" si="2"/>
        <v>4</v>
      </c>
      <c r="F26" s="1" t="str">
        <f t="shared" si="3"/>
        <v>20%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1</v>
      </c>
      <c r="AH26" s="1">
        <v>0</v>
      </c>
      <c r="AI26" s="1">
        <v>1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47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48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53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49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50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51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52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54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55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56</v>
      </c>
      <c r="B36" s="2"/>
      <c r="C36" s="1">
        <f t="shared" si="0"/>
        <v>2</v>
      </c>
      <c r="D36" s="1">
        <f t="shared" si="1"/>
        <v>2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1</v>
      </c>
      <c r="AC36" s="1">
        <v>1</v>
      </c>
      <c r="AD36" s="1">
        <v>0</v>
      </c>
      <c r="AE36" s="1" t="str">
        <f t="shared" si="13"/>
        <v>100%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57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58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59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60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61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62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63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247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64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65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66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67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68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69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70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71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72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73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74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182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75</v>
      </c>
      <c r="B57" s="2"/>
      <c r="C57" s="1">
        <f t="shared" si="152"/>
        <v>2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1</v>
      </c>
      <c r="F57" s="1" t="str">
        <f t="shared" si="79"/>
        <v>50%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1</v>
      </c>
      <c r="AH57" s="1">
        <v>0</v>
      </c>
      <c r="AI57" s="1">
        <v>1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76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77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78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79</v>
      </c>
      <c r="B61" s="2"/>
      <c r="C61" s="1">
        <f t="shared" si="152"/>
        <v>4</v>
      </c>
      <c r="D61" s="1">
        <f t="shared" si="153"/>
        <v>3</v>
      </c>
      <c r="E61" s="1">
        <f t="shared" si="154"/>
        <v>1</v>
      </c>
      <c r="F61" s="1" t="str">
        <f t="shared" si="79"/>
        <v>75%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1</v>
      </c>
      <c r="AC61" s="1">
        <v>1</v>
      </c>
      <c r="AD61" s="1">
        <v>0</v>
      </c>
      <c r="AE61" s="1" t="str">
        <f t="shared" si="89"/>
        <v>100%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1</v>
      </c>
      <c r="AM61" s="1">
        <v>1</v>
      </c>
      <c r="AN61" s="1">
        <v>0</v>
      </c>
      <c r="AO61" s="1" t="str">
        <f t="shared" si="93"/>
        <v>100%</v>
      </c>
      <c r="AP61" s="2"/>
      <c r="AQ61" s="1">
        <f t="shared" si="94"/>
        <v>1</v>
      </c>
      <c r="AR61" s="1">
        <v>0</v>
      </c>
      <c r="AS61" s="1">
        <v>1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80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81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82</v>
      </c>
      <c r="B64" s="2"/>
      <c r="C64" s="1">
        <f t="shared" si="152"/>
        <v>4</v>
      </c>
      <c r="D64" s="1">
        <f t="shared" si="153"/>
        <v>1</v>
      </c>
      <c r="E64" s="1">
        <f t="shared" si="154"/>
        <v>3</v>
      </c>
      <c r="F64" s="1" t="str">
        <f t="shared" si="79"/>
        <v>25%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1</v>
      </c>
      <c r="X64" s="1">
        <v>0</v>
      </c>
      <c r="Y64" s="1">
        <v>1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83</v>
      </c>
      <c r="B65" s="2"/>
      <c r="C65" s="1">
        <f t="shared" si="152"/>
        <v>1</v>
      </c>
      <c r="D65" s="1">
        <f t="shared" si="153"/>
        <v>1</v>
      </c>
      <c r="E65" s="1">
        <f t="shared" si="154"/>
        <v>0</v>
      </c>
      <c r="F65" s="1" t="str">
        <f t="shared" si="79"/>
        <v>100%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1</v>
      </c>
      <c r="S65" s="1">
        <v>1</v>
      </c>
      <c r="T65" s="1">
        <v>0</v>
      </c>
      <c r="U65" s="1" t="str">
        <f t="shared" si="85"/>
        <v>100%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84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85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86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87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88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89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90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91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173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201</v>
      </c>
      <c r="B75" s="2"/>
      <c r="C75" s="1">
        <f>SUM(C5:C74)</f>
        <v>110</v>
      </c>
      <c r="D75" s="1">
        <f>SUM(D5:D74)</f>
        <v>73</v>
      </c>
      <c r="E75" s="1">
        <f>SUM(E5:E74)</f>
        <v>37</v>
      </c>
      <c r="F75" s="1" t="str">
        <f t="shared" si="155"/>
        <v>66.36%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15</v>
      </c>
      <c r="S75" s="1">
        <f>SUM(S5:S74)</f>
        <v>10</v>
      </c>
      <c r="T75" s="1">
        <f>SUM(T5:T74)</f>
        <v>5</v>
      </c>
      <c r="U75" s="1" t="str">
        <f t="shared" si="161"/>
        <v>66.67%</v>
      </c>
      <c r="V75" s="2"/>
      <c r="W75" s="1">
        <f t="shared" si="162"/>
        <v>18</v>
      </c>
      <c r="X75" s="1">
        <f>SUM(X5:X74)</f>
        <v>12</v>
      </c>
      <c r="Y75" s="1">
        <f>SUM(Y5:Y74)</f>
        <v>6</v>
      </c>
      <c r="Z75" s="1" t="str">
        <f t="shared" si="163"/>
        <v>66.67%</v>
      </c>
      <c r="AA75" s="2"/>
      <c r="AB75" s="1">
        <f t="shared" si="164"/>
        <v>18</v>
      </c>
      <c r="AC75" s="1">
        <f>SUM(AC5:AC74)</f>
        <v>12</v>
      </c>
      <c r="AD75" s="1">
        <f>SUM(AD5:AD74)</f>
        <v>6</v>
      </c>
      <c r="AE75" s="1" t="str">
        <f t="shared" si="165"/>
        <v>66.67%</v>
      </c>
      <c r="AF75" s="2"/>
      <c r="AG75" s="1">
        <f t="shared" si="166"/>
        <v>15</v>
      </c>
      <c r="AH75" s="1">
        <f>SUM(AH5:AH74)</f>
        <v>12</v>
      </c>
      <c r="AI75" s="1">
        <f>SUM(AI5:AI74)</f>
        <v>3</v>
      </c>
      <c r="AJ75" s="1" t="str">
        <f t="shared" si="167"/>
        <v>80%</v>
      </c>
      <c r="AK75" s="2"/>
      <c r="AL75" s="1">
        <f t="shared" si="168"/>
        <v>9</v>
      </c>
      <c r="AM75" s="1">
        <f>SUM(AM5:AM74)</f>
        <v>8</v>
      </c>
      <c r="AN75" s="1">
        <f>SUM(AN5:AN74)</f>
        <v>1</v>
      </c>
      <c r="AO75" s="1" t="str">
        <f t="shared" si="169"/>
        <v>88.89%</v>
      </c>
      <c r="AP75" s="2"/>
      <c r="AQ75" s="1">
        <f t="shared" si="170"/>
        <v>6</v>
      </c>
      <c r="AR75" s="1">
        <f>SUM(AR5:AR74)</f>
        <v>1</v>
      </c>
      <c r="AS75" s="1">
        <f>SUM(AS5:AS74)</f>
        <v>5</v>
      </c>
      <c r="AT75" s="1" t="str">
        <f t="shared" si="171"/>
        <v>16.67%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3</v>
      </c>
      <c r="FC75" s="1">
        <f>SUM(FC5:FC74)</f>
        <v>1</v>
      </c>
      <c r="FD75" s="1">
        <f>SUM(FD5:FD74)</f>
        <v>2</v>
      </c>
      <c r="FE75" s="1" t="str">
        <f t="shared" si="217"/>
        <v>33.33%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3</v>
      </c>
      <c r="FR75" s="1">
        <f>SUM(FR5:FR74)</f>
        <v>1</v>
      </c>
      <c r="FS75" s="1">
        <f>SUM(FS5:FS74)</f>
        <v>2</v>
      </c>
      <c r="FT75" s="1" t="str">
        <f t="shared" si="223"/>
        <v>33.33%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97</v>
      </c>
      <c r="B78" s="5"/>
      <c r="C78" s="2" t="s">
        <v>93</v>
      </c>
      <c r="D78" s="2" t="s">
        <v>94</v>
      </c>
      <c r="E78" s="2" t="s">
        <v>168</v>
      </c>
      <c r="F78" s="2" t="s">
        <v>96</v>
      </c>
      <c r="G78" s="5"/>
      <c r="H78" s="2" t="s">
        <v>93</v>
      </c>
      <c r="I78" s="2" t="s">
        <v>94</v>
      </c>
      <c r="J78" s="2" t="s">
        <v>168</v>
      </c>
      <c r="K78" s="2" t="s">
        <v>96</v>
      </c>
      <c r="L78" s="5"/>
      <c r="M78" s="2" t="s">
        <v>95</v>
      </c>
      <c r="N78" s="2" t="s">
        <v>94</v>
      </c>
      <c r="O78" s="2" t="s">
        <v>168</v>
      </c>
      <c r="P78" s="2" t="s">
        <v>96</v>
      </c>
      <c r="Q78" s="5"/>
      <c r="R78" s="2" t="s">
        <v>93</v>
      </c>
      <c r="S78" s="2" t="s">
        <v>94</v>
      </c>
      <c r="T78" s="2" t="s">
        <v>168</v>
      </c>
      <c r="U78" s="2" t="s">
        <v>96</v>
      </c>
      <c r="V78" s="5"/>
      <c r="W78" s="2" t="s">
        <v>93</v>
      </c>
      <c r="X78" s="2" t="s">
        <v>94</v>
      </c>
      <c r="Y78" s="2" t="s">
        <v>168</v>
      </c>
      <c r="Z78" s="2" t="s">
        <v>96</v>
      </c>
      <c r="AA78" s="5"/>
      <c r="AB78" s="2" t="s">
        <v>93</v>
      </c>
      <c r="AC78" s="2" t="s">
        <v>94</v>
      </c>
      <c r="AD78" s="2" t="s">
        <v>168</v>
      </c>
      <c r="AE78" s="2" t="s">
        <v>96</v>
      </c>
      <c r="AF78" s="5"/>
      <c r="AG78" s="2" t="s">
        <v>93</v>
      </c>
      <c r="AH78" s="2" t="s">
        <v>94</v>
      </c>
      <c r="AI78" s="2" t="s">
        <v>168</v>
      </c>
      <c r="AJ78" s="2" t="s">
        <v>96</v>
      </c>
      <c r="AK78" s="5"/>
      <c r="AL78" s="2" t="s">
        <v>93</v>
      </c>
      <c r="AM78" s="2" t="s">
        <v>94</v>
      </c>
      <c r="AN78" s="2" t="s">
        <v>168</v>
      </c>
      <c r="AO78" s="2" t="s">
        <v>96</v>
      </c>
      <c r="AP78" s="5"/>
      <c r="AQ78" s="2" t="s">
        <v>93</v>
      </c>
      <c r="AR78" s="2" t="s">
        <v>94</v>
      </c>
      <c r="AS78" s="2" t="s">
        <v>168</v>
      </c>
      <c r="AT78" s="2" t="s">
        <v>96</v>
      </c>
      <c r="AU78" s="5"/>
      <c r="AV78" s="2" t="s">
        <v>93</v>
      </c>
      <c r="AW78" s="2" t="s">
        <v>94</v>
      </c>
      <c r="AX78" s="2" t="s">
        <v>168</v>
      </c>
      <c r="AY78" s="2" t="s">
        <v>96</v>
      </c>
      <c r="AZ78" s="5"/>
      <c r="BA78" s="2" t="s">
        <v>93</v>
      </c>
      <c r="BB78" s="2" t="s">
        <v>94</v>
      </c>
      <c r="BC78" s="2" t="s">
        <v>168</v>
      </c>
      <c r="BD78" s="2" t="s">
        <v>96</v>
      </c>
      <c r="BE78" s="5"/>
      <c r="BF78" s="2" t="s">
        <v>93</v>
      </c>
      <c r="BG78" s="2" t="s">
        <v>94</v>
      </c>
      <c r="BH78" s="2" t="s">
        <v>168</v>
      </c>
      <c r="BI78" s="2" t="s">
        <v>96</v>
      </c>
      <c r="BJ78" s="5"/>
      <c r="BK78" s="2" t="s">
        <v>93</v>
      </c>
      <c r="BL78" s="2" t="s">
        <v>94</v>
      </c>
      <c r="BM78" s="2" t="s">
        <v>168</v>
      </c>
      <c r="BN78" s="2" t="s">
        <v>96</v>
      </c>
      <c r="BO78" s="5"/>
      <c r="BP78" s="2" t="s">
        <v>93</v>
      </c>
      <c r="BQ78" s="2" t="s">
        <v>94</v>
      </c>
      <c r="BR78" s="2" t="s">
        <v>168</v>
      </c>
      <c r="BS78" s="2" t="s">
        <v>96</v>
      </c>
      <c r="BT78" s="5"/>
      <c r="BU78" s="2" t="s">
        <v>93</v>
      </c>
      <c r="BV78" s="2" t="s">
        <v>94</v>
      </c>
      <c r="BW78" s="2" t="s">
        <v>168</v>
      </c>
      <c r="BX78" s="2" t="s">
        <v>96</v>
      </c>
      <c r="BY78" s="5"/>
      <c r="BZ78" s="2" t="s">
        <v>93</v>
      </c>
      <c r="CA78" s="2" t="s">
        <v>94</v>
      </c>
      <c r="CB78" s="2" t="s">
        <v>168</v>
      </c>
      <c r="CC78" s="2" t="s">
        <v>96</v>
      </c>
      <c r="CD78" s="5"/>
      <c r="CE78" s="2" t="s">
        <v>93</v>
      </c>
      <c r="CF78" s="2" t="s">
        <v>94</v>
      </c>
      <c r="CG78" s="2" t="s">
        <v>168</v>
      </c>
      <c r="CH78" s="2" t="s">
        <v>96</v>
      </c>
      <c r="CI78" s="5"/>
      <c r="CJ78" s="2" t="s">
        <v>93</v>
      </c>
      <c r="CK78" s="2" t="s">
        <v>94</v>
      </c>
      <c r="CL78" s="2" t="s">
        <v>168</v>
      </c>
      <c r="CM78" s="2" t="s">
        <v>96</v>
      </c>
      <c r="CN78" s="5"/>
      <c r="CO78" s="2" t="s">
        <v>93</v>
      </c>
      <c r="CP78" s="2" t="s">
        <v>94</v>
      </c>
      <c r="CQ78" s="2" t="s">
        <v>168</v>
      </c>
      <c r="CR78" s="2" t="s">
        <v>96</v>
      </c>
      <c r="CS78" s="5"/>
      <c r="CT78" s="2" t="s">
        <v>93</v>
      </c>
      <c r="CU78" s="2" t="s">
        <v>94</v>
      </c>
      <c r="CV78" s="2" t="s">
        <v>168</v>
      </c>
      <c r="CW78" s="2" t="s">
        <v>96</v>
      </c>
      <c r="CX78" s="5"/>
      <c r="CY78" s="2" t="s">
        <v>93</v>
      </c>
      <c r="CZ78" s="2" t="s">
        <v>94</v>
      </c>
      <c r="DA78" s="2" t="s">
        <v>168</v>
      </c>
      <c r="DB78" s="2" t="s">
        <v>96</v>
      </c>
      <c r="DC78" s="5"/>
      <c r="DD78" s="2" t="s">
        <v>93</v>
      </c>
      <c r="DE78" s="2" t="s">
        <v>94</v>
      </c>
      <c r="DF78" s="2" t="s">
        <v>168</v>
      </c>
      <c r="DG78" s="2" t="s">
        <v>96</v>
      </c>
      <c r="DH78" s="5"/>
      <c r="DI78" s="2" t="s">
        <v>93</v>
      </c>
      <c r="DJ78" s="2" t="s">
        <v>94</v>
      </c>
      <c r="DK78" s="2" t="s">
        <v>168</v>
      </c>
      <c r="DL78" s="2" t="s">
        <v>96</v>
      </c>
      <c r="DM78" s="5"/>
      <c r="DN78" s="2" t="s">
        <v>93</v>
      </c>
      <c r="DO78" s="2" t="s">
        <v>94</v>
      </c>
      <c r="DP78" s="2" t="s">
        <v>168</v>
      </c>
      <c r="DQ78" s="2" t="s">
        <v>96</v>
      </c>
      <c r="DR78" s="5"/>
      <c r="DS78" s="2" t="s">
        <v>93</v>
      </c>
      <c r="DT78" s="2" t="s">
        <v>94</v>
      </c>
      <c r="DU78" s="2" t="s">
        <v>168</v>
      </c>
      <c r="DV78" s="2" t="s">
        <v>96</v>
      </c>
      <c r="DW78" s="5"/>
      <c r="DX78" s="2" t="s">
        <v>93</v>
      </c>
      <c r="DY78" s="2" t="s">
        <v>94</v>
      </c>
      <c r="DZ78" s="2" t="s">
        <v>168</v>
      </c>
      <c r="EA78" s="2" t="s">
        <v>96</v>
      </c>
      <c r="EB78" s="5"/>
      <c r="EC78" s="2" t="s">
        <v>93</v>
      </c>
      <c r="ED78" s="2" t="s">
        <v>94</v>
      </c>
      <c r="EE78" s="2" t="s">
        <v>168</v>
      </c>
      <c r="EF78" s="2" t="s">
        <v>96</v>
      </c>
      <c r="EG78" s="5"/>
      <c r="EH78" s="2" t="s">
        <v>93</v>
      </c>
      <c r="EI78" s="2" t="s">
        <v>94</v>
      </c>
      <c r="EJ78" s="2" t="s">
        <v>168</v>
      </c>
      <c r="EK78" s="2" t="s">
        <v>96</v>
      </c>
      <c r="EL78" s="5"/>
      <c r="EM78" s="2" t="s">
        <v>93</v>
      </c>
      <c r="EN78" s="2" t="s">
        <v>94</v>
      </c>
      <c r="EO78" s="2" t="s">
        <v>168</v>
      </c>
      <c r="EP78" s="2" t="s">
        <v>96</v>
      </c>
      <c r="EQ78" s="5"/>
      <c r="ER78" s="2" t="s">
        <v>93</v>
      </c>
      <c r="ES78" s="2" t="s">
        <v>94</v>
      </c>
      <c r="ET78" s="2" t="s">
        <v>168</v>
      </c>
      <c r="EU78" s="2" t="s">
        <v>96</v>
      </c>
      <c r="EV78" s="5"/>
      <c r="EW78" s="2" t="s">
        <v>93</v>
      </c>
      <c r="EX78" s="2" t="s">
        <v>94</v>
      </c>
      <c r="EY78" s="2" t="s">
        <v>168</v>
      </c>
      <c r="EZ78" s="2" t="s">
        <v>96</v>
      </c>
      <c r="FA78" s="5"/>
      <c r="FB78" s="2" t="s">
        <v>93</v>
      </c>
      <c r="FC78" s="2" t="s">
        <v>94</v>
      </c>
      <c r="FD78" s="2" t="s">
        <v>168</v>
      </c>
      <c r="FE78" s="2" t="s">
        <v>96</v>
      </c>
      <c r="FF78" s="5"/>
      <c r="FG78" s="2" t="s">
        <v>93</v>
      </c>
      <c r="FH78" s="2" t="s">
        <v>94</v>
      </c>
      <c r="FI78" s="2" t="s">
        <v>168</v>
      </c>
      <c r="FJ78" s="2" t="s">
        <v>96</v>
      </c>
      <c r="FK78" s="5"/>
      <c r="FL78" s="2" t="s">
        <v>93</v>
      </c>
      <c r="FM78" s="2" t="s">
        <v>94</v>
      </c>
      <c r="FN78" s="2" t="s">
        <v>168</v>
      </c>
      <c r="FO78" s="2" t="s">
        <v>96</v>
      </c>
      <c r="FP78" s="5"/>
      <c r="FQ78" s="2" t="s">
        <v>93</v>
      </c>
      <c r="FR78" s="2" t="s">
        <v>94</v>
      </c>
      <c r="FS78" s="2" t="s">
        <v>168</v>
      </c>
      <c r="FT78" s="2" t="s">
        <v>96</v>
      </c>
      <c r="FU78" s="5"/>
      <c r="FV78" s="2" t="s">
        <v>93</v>
      </c>
      <c r="FW78" s="2" t="s">
        <v>94</v>
      </c>
      <c r="FX78" s="2" t="s">
        <v>168</v>
      </c>
      <c r="FY78" s="2" t="s">
        <v>96</v>
      </c>
      <c r="FZ78" s="5"/>
      <c r="GA78" s="2" t="s">
        <v>93</v>
      </c>
      <c r="GB78" s="2" t="s">
        <v>94</v>
      </c>
      <c r="GC78" s="2" t="s">
        <v>168</v>
      </c>
      <c r="GD78" s="2" t="s">
        <v>96</v>
      </c>
      <c r="GE78" s="3"/>
    </row>
    <row r="79" spans="1:187" x14ac:dyDescent="0.25">
      <c r="A79" s="2" t="s">
        <v>98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99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100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101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102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103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104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105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183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106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107</v>
      </c>
      <c r="B89" s="5"/>
      <c r="C89" s="2">
        <f t="shared" si="228"/>
        <v>3</v>
      </c>
      <c r="D89" s="2">
        <f t="shared" si="229"/>
        <v>1</v>
      </c>
      <c r="E89" s="2">
        <f t="shared" si="230"/>
        <v>2</v>
      </c>
      <c r="F89" s="2" t="str">
        <f t="shared" si="231"/>
        <v>33.33%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1</v>
      </c>
      <c r="AC89" s="2">
        <v>0</v>
      </c>
      <c r="AD89" s="2">
        <v>1</v>
      </c>
      <c r="AE89" s="2" t="str">
        <f t="shared" si="241"/>
        <v>0%</v>
      </c>
      <c r="AF89" s="5"/>
      <c r="AG89" s="2">
        <f t="shared" si="242"/>
        <v>2</v>
      </c>
      <c r="AH89" s="2">
        <v>1</v>
      </c>
      <c r="AI89" s="2">
        <v>1</v>
      </c>
      <c r="AJ89" s="2" t="str">
        <f t="shared" si="243"/>
        <v>50%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108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109</v>
      </c>
      <c r="B91" s="5"/>
      <c r="C91" s="2">
        <f t="shared" si="228"/>
        <v>3</v>
      </c>
      <c r="D91" s="2">
        <f t="shared" si="229"/>
        <v>1</v>
      </c>
      <c r="E91" s="2">
        <f t="shared" si="230"/>
        <v>2</v>
      </c>
      <c r="F91" s="2" t="str">
        <f t="shared" si="231"/>
        <v>33.33%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3</v>
      </c>
      <c r="X91" s="2">
        <v>1</v>
      </c>
      <c r="Y91" s="2">
        <v>2</v>
      </c>
      <c r="Z91" s="2" t="str">
        <f t="shared" si="239"/>
        <v>33.33%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110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111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112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113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114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115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116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117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118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119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174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202</v>
      </c>
      <c r="B103" s="5"/>
      <c r="C103" s="2">
        <f>SUM(C79:C102)</f>
        <v>14</v>
      </c>
      <c r="D103" s="2">
        <f>SUM(D79:D102)</f>
        <v>8</v>
      </c>
      <c r="E103" s="2">
        <f>SUM(E79:E102)</f>
        <v>6</v>
      </c>
      <c r="F103" s="2" t="str">
        <f t="shared" si="231"/>
        <v>57.14%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3</v>
      </c>
      <c r="X103" s="2">
        <f>SUM(X79:X102)</f>
        <v>1</v>
      </c>
      <c r="Y103" s="2">
        <f>SUM(Y79:Y102)</f>
        <v>2</v>
      </c>
      <c r="Z103" s="2" t="str">
        <f t="shared" si="239"/>
        <v>33.33%</v>
      </c>
      <c r="AA103" s="5"/>
      <c r="AB103" s="2">
        <f t="shared" si="240"/>
        <v>3</v>
      </c>
      <c r="AC103" s="2">
        <f>SUM(AC79:AC102)</f>
        <v>2</v>
      </c>
      <c r="AD103" s="2">
        <f>SUM(AD79:AD102)</f>
        <v>1</v>
      </c>
      <c r="AE103" s="2" t="str">
        <f t="shared" si="241"/>
        <v>66.67%</v>
      </c>
      <c r="AF103" s="5"/>
      <c r="AG103" s="2">
        <f t="shared" si="242"/>
        <v>3</v>
      </c>
      <c r="AH103" s="2">
        <f>SUM(AH79:AH102)</f>
        <v>2</v>
      </c>
      <c r="AI103" s="2">
        <f>SUM(AI79:AI102)</f>
        <v>1</v>
      </c>
      <c r="AJ103" s="2" t="str">
        <f t="shared" si="243"/>
        <v>66.67%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204</v>
      </c>
      <c r="B106" s="16" t="s">
        <v>165</v>
      </c>
      <c r="C106" s="9">
        <f>SUM(C103,C75)</f>
        <v>124</v>
      </c>
      <c r="D106" s="9">
        <f>SUM(D103,D75)</f>
        <v>81</v>
      </c>
      <c r="E106" s="9">
        <f>SUM(E103,E75)</f>
        <v>43</v>
      </c>
      <c r="F106" s="16" t="str">
        <f>IF(SUM(D75,D103),ROUND(D106*100/C106,2),0) &amp; "%"</f>
        <v>65.32%</v>
      </c>
      <c r="G106" s="18" t="s">
        <v>144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144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144</v>
      </c>
      <c r="R106" s="9">
        <f>SUM(R103,R75)</f>
        <v>16</v>
      </c>
      <c r="S106" s="9">
        <f>SUM(S103,S75)</f>
        <v>10</v>
      </c>
      <c r="T106" s="9">
        <f>SUM(T103,T75)</f>
        <v>6</v>
      </c>
      <c r="U106" s="16" t="str">
        <f>IF(SUM(S75,S103),ROUND(S106*100/R106,2),0) &amp; "%"</f>
        <v>62.5%</v>
      </c>
      <c r="V106" s="18" t="s">
        <v>144</v>
      </c>
      <c r="W106" s="9">
        <f>SUM(W103,W75)</f>
        <v>21</v>
      </c>
      <c r="X106" s="9">
        <f>SUM(X103,X75)</f>
        <v>13</v>
      </c>
      <c r="Y106" s="9">
        <f>SUM(Y103,Y75)</f>
        <v>8</v>
      </c>
      <c r="Z106" s="16" t="str">
        <f>IF(SUM(X75,X103),ROUND(X106*100/W106,2),0) &amp; "%"</f>
        <v>61.9%</v>
      </c>
      <c r="AA106" s="18" t="s">
        <v>144</v>
      </c>
      <c r="AB106" s="9">
        <f>SUM(AB103,AB75)</f>
        <v>21</v>
      </c>
      <c r="AC106" s="9">
        <f>SUM(AC103,AC75)</f>
        <v>14</v>
      </c>
      <c r="AD106" s="9">
        <f>SUM(AD103,AD75)</f>
        <v>7</v>
      </c>
      <c r="AE106" s="16" t="str">
        <f>IF(SUM(AC75,AC103),ROUND(AC106*100/AB106,2),0) &amp; "%"</f>
        <v>66.67%</v>
      </c>
      <c r="AF106" s="18" t="s">
        <v>144</v>
      </c>
      <c r="AG106" s="9">
        <f>SUM(AG103,AG75)</f>
        <v>18</v>
      </c>
      <c r="AH106" s="9">
        <f>SUM(AH103,AH75)</f>
        <v>14</v>
      </c>
      <c r="AI106" s="9">
        <f>SUM(AI103,AI75)</f>
        <v>4</v>
      </c>
      <c r="AJ106" s="16" t="str">
        <f>IF(SUM(AH75,AH103),ROUND(AH106*100/AG106,2),0) &amp; "%"</f>
        <v>77.78%</v>
      </c>
      <c r="AK106" s="18" t="s">
        <v>144</v>
      </c>
      <c r="AL106" s="9">
        <f>SUM(AL103,AL75)</f>
        <v>9</v>
      </c>
      <c r="AM106" s="9">
        <f>SUM(AM103,AM75)</f>
        <v>8</v>
      </c>
      <c r="AN106" s="9">
        <f>SUM(AN103,AN75)</f>
        <v>1</v>
      </c>
      <c r="AO106" s="16" t="str">
        <f>IF(SUM(AM75,AM103),ROUND(AM106*100/AL106,2),0) &amp; "%"</f>
        <v>88.89%</v>
      </c>
      <c r="AP106" s="18" t="s">
        <v>144</v>
      </c>
      <c r="AQ106" s="9">
        <f>SUM(AQ103,AQ75)</f>
        <v>7</v>
      </c>
      <c r="AR106" s="9">
        <f>SUM(AR103,AR75)</f>
        <v>2</v>
      </c>
      <c r="AS106" s="9">
        <f>SUM(AS103,AS75)</f>
        <v>5</v>
      </c>
      <c r="AT106" s="16" t="str">
        <f>IF(SUM(AR75,AR103),ROUND(AR106*100/AQ106,2),0) &amp; "%"</f>
        <v>28.57%</v>
      </c>
      <c r="AU106" s="18" t="s">
        <v>144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144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144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144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144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144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144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144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144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144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144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144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144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144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144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144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144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144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144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144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144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144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144</v>
      </c>
      <c r="FB106" s="9">
        <f>SUM(FB103,FB75)</f>
        <v>3</v>
      </c>
      <c r="FC106" s="9">
        <f>SUM(FC103,FC75)</f>
        <v>1</v>
      </c>
      <c r="FD106" s="9">
        <f>SUM(FD103,FD75)</f>
        <v>2</v>
      </c>
      <c r="FE106" s="16" t="str">
        <f>IF(SUM(FC75,FC103),ROUND(FC106*100/FB106,2),0) &amp; "%"</f>
        <v>33.33%</v>
      </c>
      <c r="FF106" s="18" t="s">
        <v>144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144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144</v>
      </c>
      <c r="FQ106" s="9">
        <f>SUM(FQ103,FQ75)</f>
        <v>3</v>
      </c>
      <c r="FR106" s="9">
        <f>SUM(FR103,FR75)</f>
        <v>1</v>
      </c>
      <c r="FS106" s="9">
        <f>SUM(FS103,FS75)</f>
        <v>2</v>
      </c>
      <c r="FT106" s="16" t="str">
        <f>IF(SUM(FR75,FR103),ROUND(FR106*100/FQ106,2),0) &amp; "%"</f>
        <v>33.33%</v>
      </c>
      <c r="FU106" s="18" t="s">
        <v>144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144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120</v>
      </c>
      <c r="B109" s="8"/>
      <c r="C109" s="7" t="s">
        <v>93</v>
      </c>
      <c r="D109" s="7" t="s">
        <v>94</v>
      </c>
      <c r="E109" s="7" t="s">
        <v>168</v>
      </c>
      <c r="F109" s="7" t="s">
        <v>96</v>
      </c>
      <c r="G109" s="8"/>
      <c r="H109" s="7" t="s">
        <v>93</v>
      </c>
      <c r="I109" s="7" t="s">
        <v>94</v>
      </c>
      <c r="J109" s="7" t="s">
        <v>168</v>
      </c>
      <c r="K109" s="7" t="s">
        <v>96</v>
      </c>
      <c r="L109" s="8"/>
      <c r="M109" s="7" t="s">
        <v>93</v>
      </c>
      <c r="N109" s="7" t="s">
        <v>94</v>
      </c>
      <c r="O109" s="7" t="s">
        <v>168</v>
      </c>
      <c r="P109" s="7" t="s">
        <v>96</v>
      </c>
      <c r="Q109" s="8"/>
      <c r="R109" s="7" t="s">
        <v>93</v>
      </c>
      <c r="S109" s="7" t="s">
        <v>94</v>
      </c>
      <c r="T109" s="7" t="s">
        <v>168</v>
      </c>
      <c r="U109" s="7" t="s">
        <v>96</v>
      </c>
      <c r="V109" s="8"/>
      <c r="W109" s="7" t="s">
        <v>93</v>
      </c>
      <c r="X109" s="7" t="s">
        <v>94</v>
      </c>
      <c r="Y109" s="7" t="s">
        <v>168</v>
      </c>
      <c r="Z109" s="7" t="s">
        <v>96</v>
      </c>
      <c r="AA109" s="8"/>
      <c r="AB109" s="7" t="s">
        <v>93</v>
      </c>
      <c r="AC109" s="7" t="s">
        <v>94</v>
      </c>
      <c r="AD109" s="7" t="s">
        <v>168</v>
      </c>
      <c r="AE109" s="7" t="s">
        <v>96</v>
      </c>
      <c r="AF109" s="8"/>
      <c r="AG109" s="7" t="s">
        <v>93</v>
      </c>
      <c r="AH109" s="7" t="s">
        <v>94</v>
      </c>
      <c r="AI109" s="7" t="s">
        <v>168</v>
      </c>
      <c r="AJ109" s="7" t="s">
        <v>96</v>
      </c>
      <c r="AK109" s="8"/>
      <c r="AL109" s="7" t="s">
        <v>93</v>
      </c>
      <c r="AM109" s="7" t="s">
        <v>94</v>
      </c>
      <c r="AN109" s="7" t="s">
        <v>168</v>
      </c>
      <c r="AO109" s="7" t="s">
        <v>96</v>
      </c>
      <c r="AP109" s="8"/>
      <c r="AQ109" s="7" t="s">
        <v>93</v>
      </c>
      <c r="AR109" s="7" t="s">
        <v>94</v>
      </c>
      <c r="AS109" s="7" t="s">
        <v>168</v>
      </c>
      <c r="AT109" s="7" t="s">
        <v>96</v>
      </c>
      <c r="AU109" s="8"/>
      <c r="AV109" s="7" t="s">
        <v>93</v>
      </c>
      <c r="AW109" s="7" t="s">
        <v>94</v>
      </c>
      <c r="AX109" s="7" t="s">
        <v>168</v>
      </c>
      <c r="AY109" s="7" t="s">
        <v>96</v>
      </c>
      <c r="AZ109" s="8"/>
      <c r="BA109" s="7" t="s">
        <v>93</v>
      </c>
      <c r="BB109" s="7" t="s">
        <v>94</v>
      </c>
      <c r="BC109" s="7" t="s">
        <v>168</v>
      </c>
      <c r="BD109" s="7" t="s">
        <v>96</v>
      </c>
      <c r="BE109" s="8"/>
      <c r="BF109" s="7" t="s">
        <v>93</v>
      </c>
      <c r="BG109" s="7" t="s">
        <v>94</v>
      </c>
      <c r="BH109" s="7" t="s">
        <v>168</v>
      </c>
      <c r="BI109" s="7" t="s">
        <v>96</v>
      </c>
      <c r="BJ109" s="8"/>
      <c r="BK109" s="7" t="s">
        <v>93</v>
      </c>
      <c r="BL109" s="7" t="s">
        <v>94</v>
      </c>
      <c r="BM109" s="7" t="s">
        <v>168</v>
      </c>
      <c r="BN109" s="7" t="s">
        <v>96</v>
      </c>
      <c r="BO109" s="8"/>
      <c r="BP109" s="7" t="s">
        <v>93</v>
      </c>
      <c r="BQ109" s="7" t="s">
        <v>94</v>
      </c>
      <c r="BR109" s="7" t="s">
        <v>168</v>
      </c>
      <c r="BS109" s="7" t="s">
        <v>96</v>
      </c>
      <c r="BT109" s="8"/>
      <c r="BU109" s="7" t="s">
        <v>93</v>
      </c>
      <c r="BV109" s="7" t="s">
        <v>94</v>
      </c>
      <c r="BW109" s="7" t="s">
        <v>168</v>
      </c>
      <c r="BX109" s="7" t="s">
        <v>96</v>
      </c>
      <c r="BY109" s="8"/>
      <c r="BZ109" s="7" t="s">
        <v>93</v>
      </c>
      <c r="CA109" s="7" t="s">
        <v>94</v>
      </c>
      <c r="CB109" s="7" t="s">
        <v>168</v>
      </c>
      <c r="CC109" s="7" t="s">
        <v>96</v>
      </c>
      <c r="CD109" s="8"/>
      <c r="CE109" s="7" t="s">
        <v>93</v>
      </c>
      <c r="CF109" s="7" t="s">
        <v>94</v>
      </c>
      <c r="CG109" s="7" t="s">
        <v>168</v>
      </c>
      <c r="CH109" s="7" t="s">
        <v>96</v>
      </c>
      <c r="CI109" s="8"/>
      <c r="CJ109" s="7" t="s">
        <v>93</v>
      </c>
      <c r="CK109" s="7" t="s">
        <v>94</v>
      </c>
      <c r="CL109" s="7" t="s">
        <v>168</v>
      </c>
      <c r="CM109" s="7" t="s">
        <v>96</v>
      </c>
      <c r="CN109" s="8"/>
      <c r="CO109" s="7" t="s">
        <v>93</v>
      </c>
      <c r="CP109" s="7" t="s">
        <v>94</v>
      </c>
      <c r="CQ109" s="7" t="s">
        <v>168</v>
      </c>
      <c r="CR109" s="7" t="s">
        <v>96</v>
      </c>
      <c r="CS109" s="8"/>
      <c r="CT109" s="7" t="s">
        <v>93</v>
      </c>
      <c r="CU109" s="7" t="s">
        <v>94</v>
      </c>
      <c r="CV109" s="7" t="s">
        <v>168</v>
      </c>
      <c r="CW109" s="7" t="s">
        <v>96</v>
      </c>
      <c r="CX109" s="8"/>
      <c r="CY109" s="7" t="s">
        <v>93</v>
      </c>
      <c r="CZ109" s="7" t="s">
        <v>94</v>
      </c>
      <c r="DA109" s="7" t="s">
        <v>168</v>
      </c>
      <c r="DB109" s="7" t="s">
        <v>96</v>
      </c>
      <c r="DC109" s="8"/>
      <c r="DD109" s="7" t="s">
        <v>93</v>
      </c>
      <c r="DE109" s="7" t="s">
        <v>94</v>
      </c>
      <c r="DF109" s="7" t="s">
        <v>168</v>
      </c>
      <c r="DG109" s="7" t="s">
        <v>96</v>
      </c>
      <c r="DH109" s="8"/>
      <c r="DI109" s="7" t="s">
        <v>93</v>
      </c>
      <c r="DJ109" s="7" t="s">
        <v>94</v>
      </c>
      <c r="DK109" s="7" t="s">
        <v>168</v>
      </c>
      <c r="DL109" s="7" t="s">
        <v>96</v>
      </c>
      <c r="DM109" s="8"/>
      <c r="DN109" s="7" t="s">
        <v>93</v>
      </c>
      <c r="DO109" s="7" t="s">
        <v>94</v>
      </c>
      <c r="DP109" s="7" t="s">
        <v>168</v>
      </c>
      <c r="DQ109" s="7" t="s">
        <v>96</v>
      </c>
      <c r="DR109" s="8"/>
      <c r="DS109" s="7" t="s">
        <v>93</v>
      </c>
      <c r="DT109" s="7" t="s">
        <v>94</v>
      </c>
      <c r="DU109" s="7" t="s">
        <v>168</v>
      </c>
      <c r="DV109" s="7" t="s">
        <v>96</v>
      </c>
      <c r="DW109" s="8"/>
      <c r="DX109" s="7" t="s">
        <v>93</v>
      </c>
      <c r="DY109" s="7" t="s">
        <v>94</v>
      </c>
      <c r="DZ109" s="7" t="s">
        <v>168</v>
      </c>
      <c r="EA109" s="7" t="s">
        <v>96</v>
      </c>
      <c r="EB109" s="8"/>
      <c r="EC109" s="7" t="s">
        <v>93</v>
      </c>
      <c r="ED109" s="7" t="s">
        <v>94</v>
      </c>
      <c r="EE109" s="7" t="s">
        <v>168</v>
      </c>
      <c r="EF109" s="7" t="s">
        <v>96</v>
      </c>
      <c r="EG109" s="8"/>
      <c r="EH109" s="7" t="s">
        <v>93</v>
      </c>
      <c r="EI109" s="7" t="s">
        <v>94</v>
      </c>
      <c r="EJ109" s="7" t="s">
        <v>168</v>
      </c>
      <c r="EK109" s="7" t="s">
        <v>96</v>
      </c>
      <c r="EL109" s="8"/>
      <c r="EM109" s="7" t="s">
        <v>93</v>
      </c>
      <c r="EN109" s="7" t="s">
        <v>94</v>
      </c>
      <c r="EO109" s="7" t="s">
        <v>168</v>
      </c>
      <c r="EP109" s="7" t="s">
        <v>96</v>
      </c>
      <c r="EQ109" s="8"/>
      <c r="ER109" s="7" t="s">
        <v>93</v>
      </c>
      <c r="ES109" s="7" t="s">
        <v>94</v>
      </c>
      <c r="ET109" s="7" t="s">
        <v>168</v>
      </c>
      <c r="EU109" s="7" t="s">
        <v>96</v>
      </c>
      <c r="EV109" s="8"/>
      <c r="EW109" s="7" t="s">
        <v>93</v>
      </c>
      <c r="EX109" s="7" t="s">
        <v>94</v>
      </c>
      <c r="EY109" s="7" t="s">
        <v>168</v>
      </c>
      <c r="EZ109" s="7" t="s">
        <v>96</v>
      </c>
      <c r="FA109" s="8"/>
      <c r="FB109" s="7" t="s">
        <v>93</v>
      </c>
      <c r="FC109" s="7" t="s">
        <v>94</v>
      </c>
      <c r="FD109" s="7" t="s">
        <v>168</v>
      </c>
      <c r="FE109" s="7" t="s">
        <v>96</v>
      </c>
      <c r="FF109" s="8"/>
      <c r="FG109" s="7" t="s">
        <v>93</v>
      </c>
      <c r="FH109" s="7" t="s">
        <v>94</v>
      </c>
      <c r="FI109" s="7" t="s">
        <v>168</v>
      </c>
      <c r="FJ109" s="7" t="s">
        <v>96</v>
      </c>
      <c r="FK109" s="8"/>
      <c r="FL109" s="7" t="s">
        <v>93</v>
      </c>
      <c r="FM109" s="7" t="s">
        <v>94</v>
      </c>
      <c r="FN109" s="7" t="s">
        <v>168</v>
      </c>
      <c r="FO109" s="7" t="s">
        <v>96</v>
      </c>
      <c r="FP109" s="8"/>
      <c r="FQ109" s="7" t="s">
        <v>93</v>
      </c>
      <c r="FR109" s="7" t="s">
        <v>94</v>
      </c>
      <c r="FS109" s="7" t="s">
        <v>168</v>
      </c>
      <c r="FT109" s="7" t="s">
        <v>96</v>
      </c>
      <c r="FU109" s="8"/>
      <c r="FV109" s="7" t="s">
        <v>93</v>
      </c>
      <c r="FW109" s="7" t="s">
        <v>94</v>
      </c>
      <c r="FX109" s="7" t="s">
        <v>168</v>
      </c>
      <c r="FY109" s="7" t="s">
        <v>96</v>
      </c>
      <c r="FZ109" s="8"/>
      <c r="GA109" s="7" t="s">
        <v>93</v>
      </c>
      <c r="GB109" s="7" t="s">
        <v>94</v>
      </c>
      <c r="GC109" s="7" t="s">
        <v>168</v>
      </c>
      <c r="GD109" s="7" t="s">
        <v>96</v>
      </c>
      <c r="GE109" s="3"/>
    </row>
    <row r="110" spans="1:187" x14ac:dyDescent="0.25">
      <c r="A110" s="7" t="s">
        <v>121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122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123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124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125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126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127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248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128</v>
      </c>
      <c r="B118" s="8"/>
      <c r="C118" s="7">
        <f t="shared" si="304"/>
        <v>7</v>
      </c>
      <c r="D118" s="7">
        <f t="shared" si="305"/>
        <v>5</v>
      </c>
      <c r="E118" s="7">
        <f t="shared" si="306"/>
        <v>2</v>
      </c>
      <c r="F118" s="7" t="str">
        <f t="shared" si="307"/>
        <v>71.43%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1</v>
      </c>
      <c r="X118" s="7">
        <v>0</v>
      </c>
      <c r="Y118" s="7">
        <v>1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2</v>
      </c>
      <c r="AH118" s="7">
        <v>2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3</v>
      </c>
      <c r="AR118" s="7">
        <v>2</v>
      </c>
      <c r="AS118" s="7">
        <v>1</v>
      </c>
      <c r="AT118" s="7" t="str">
        <f t="shared" si="323"/>
        <v>66.67%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1</v>
      </c>
      <c r="FC118" s="7">
        <v>0</v>
      </c>
      <c r="FD118" s="7">
        <v>1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129</v>
      </c>
      <c r="B119" s="8"/>
      <c r="C119" s="7">
        <f t="shared" si="304"/>
        <v>2</v>
      </c>
      <c r="D119" s="7">
        <f t="shared" si="305"/>
        <v>0</v>
      </c>
      <c r="E119" s="7">
        <f t="shared" si="306"/>
        <v>2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1</v>
      </c>
      <c r="AR119" s="7">
        <v>0</v>
      </c>
      <c r="AS119" s="7">
        <v>1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130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131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132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133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134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135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136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137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138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1</v>
      </c>
      <c r="FC128" s="7">
        <v>0</v>
      </c>
      <c r="FD128" s="7">
        <v>1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139</v>
      </c>
      <c r="B129" s="8"/>
      <c r="C129" s="7">
        <f t="shared" si="304"/>
        <v>2</v>
      </c>
      <c r="D129" s="7">
        <f t="shared" si="305"/>
        <v>1</v>
      </c>
      <c r="E129" s="7">
        <f t="shared" si="306"/>
        <v>1</v>
      </c>
      <c r="F129" s="7" t="str">
        <f t="shared" si="307"/>
        <v>50%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1</v>
      </c>
      <c r="AC129" s="7">
        <v>1</v>
      </c>
      <c r="AD129" s="7">
        <v>0</v>
      </c>
      <c r="AE129" s="7" t="str">
        <f t="shared" si="317"/>
        <v>100%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140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141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142</v>
      </c>
      <c r="B132" s="8"/>
      <c r="C132" s="7">
        <f t="shared" si="304"/>
        <v>2</v>
      </c>
      <c r="D132" s="7">
        <f t="shared" si="305"/>
        <v>2</v>
      </c>
      <c r="E132" s="7">
        <f t="shared" si="306"/>
        <v>0</v>
      </c>
      <c r="F132" s="7" t="str">
        <f t="shared" si="307"/>
        <v>100%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1</v>
      </c>
      <c r="S132" s="7">
        <v>1</v>
      </c>
      <c r="T132" s="7">
        <v>0</v>
      </c>
      <c r="U132" s="7" t="str">
        <f t="shared" si="313"/>
        <v>100%</v>
      </c>
      <c r="V132" s="8"/>
      <c r="W132" s="7">
        <f t="shared" si="314"/>
        <v>1</v>
      </c>
      <c r="X132" s="7">
        <v>1</v>
      </c>
      <c r="Y132" s="7">
        <v>0</v>
      </c>
      <c r="Z132" s="7" t="str">
        <f t="shared" si="315"/>
        <v>100%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1</v>
      </c>
      <c r="FR132" s="7">
        <v>0</v>
      </c>
      <c r="FS132" s="7">
        <v>1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143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179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184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178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175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203</v>
      </c>
      <c r="B138" s="8"/>
      <c r="C138" s="7">
        <f>SUM(C110:C137)</f>
        <v>30</v>
      </c>
      <c r="D138" s="7">
        <f>SUM(D110:D137)</f>
        <v>14</v>
      </c>
      <c r="E138" s="7">
        <f>SUM(E110:E137)</f>
        <v>16</v>
      </c>
      <c r="F138" s="7" t="str">
        <f t="shared" si="307"/>
        <v>46.67%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4</v>
      </c>
      <c r="S138" s="7">
        <f>SUM(S110:S137)</f>
        <v>2</v>
      </c>
      <c r="T138" s="7">
        <f>SUM(T110:T137)</f>
        <v>2</v>
      </c>
      <c r="U138" s="7" t="str">
        <f t="shared" si="313"/>
        <v>50%</v>
      </c>
      <c r="V138" s="8"/>
      <c r="W138" s="7">
        <f>SUM(W110:W137)</f>
        <v>6</v>
      </c>
      <c r="X138" s="7">
        <f>SUM(X110:X137)</f>
        <v>2</v>
      </c>
      <c r="Y138" s="7">
        <f>SUM(Y110:Y137)</f>
        <v>4</v>
      </c>
      <c r="Z138" s="7" t="str">
        <f t="shared" si="315"/>
        <v>33.33%</v>
      </c>
      <c r="AA138" s="8"/>
      <c r="AB138" s="7">
        <f>SUM(AB110:AB137)</f>
        <v>2</v>
      </c>
      <c r="AC138" s="7">
        <f>SUM(AC110:AC137)</f>
        <v>1</v>
      </c>
      <c r="AD138" s="7">
        <f>SUM(AD110:AD137)</f>
        <v>1</v>
      </c>
      <c r="AE138" s="7" t="str">
        <f t="shared" si="317"/>
        <v>50%</v>
      </c>
      <c r="AF138" s="8"/>
      <c r="AG138" s="7">
        <f>SUM(AG110:AG137)</f>
        <v>5</v>
      </c>
      <c r="AH138" s="7">
        <f>SUM(AH110:AH137)</f>
        <v>3</v>
      </c>
      <c r="AI138" s="7">
        <f>SUM(AI110:AI137)</f>
        <v>2</v>
      </c>
      <c r="AJ138" s="7" t="str">
        <f t="shared" si="319"/>
        <v>60%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5</v>
      </c>
      <c r="AR138" s="7">
        <f>SUM(AR110:AR137)</f>
        <v>2</v>
      </c>
      <c r="AS138" s="7">
        <f>SUM(AS110:AS137)</f>
        <v>3</v>
      </c>
      <c r="AT138" s="7" t="str">
        <f t="shared" si="323"/>
        <v>40%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2</v>
      </c>
      <c r="FC138" s="7">
        <f>SUM(FC110:FC137)</f>
        <v>0</v>
      </c>
      <c r="FD138" s="7">
        <f>SUM(FD110:FD137)</f>
        <v>2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1</v>
      </c>
      <c r="FR138" s="7">
        <f>SUM(FR110:FR137)</f>
        <v>0</v>
      </c>
      <c r="FS138" s="7">
        <f>SUM(FS110:FS137)</f>
        <v>1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145</v>
      </c>
      <c r="B141" s="11"/>
      <c r="C141" s="12" t="s">
        <v>93</v>
      </c>
      <c r="D141" s="12" t="s">
        <v>94</v>
      </c>
      <c r="E141" s="12" t="s">
        <v>168</v>
      </c>
      <c r="F141" s="12" t="s">
        <v>96</v>
      </c>
      <c r="G141" s="11"/>
      <c r="H141" s="12" t="s">
        <v>93</v>
      </c>
      <c r="I141" s="12" t="s">
        <v>94</v>
      </c>
      <c r="J141" s="12" t="s">
        <v>168</v>
      </c>
      <c r="K141" s="12" t="s">
        <v>96</v>
      </c>
      <c r="L141" s="11"/>
      <c r="M141" s="12" t="s">
        <v>93</v>
      </c>
      <c r="N141" s="12" t="s">
        <v>94</v>
      </c>
      <c r="O141" s="12" t="s">
        <v>168</v>
      </c>
      <c r="P141" s="12" t="s">
        <v>96</v>
      </c>
      <c r="Q141" s="11"/>
      <c r="R141" s="12" t="s">
        <v>93</v>
      </c>
      <c r="S141" s="12" t="s">
        <v>94</v>
      </c>
      <c r="T141" s="12" t="s">
        <v>168</v>
      </c>
      <c r="U141" s="12" t="s">
        <v>96</v>
      </c>
      <c r="V141" s="11"/>
      <c r="W141" s="12" t="s">
        <v>93</v>
      </c>
      <c r="X141" s="12" t="s">
        <v>94</v>
      </c>
      <c r="Y141" s="12" t="s">
        <v>168</v>
      </c>
      <c r="Z141" s="12" t="s">
        <v>96</v>
      </c>
      <c r="AA141" s="11"/>
      <c r="AB141" s="12" t="s">
        <v>93</v>
      </c>
      <c r="AC141" s="12" t="s">
        <v>94</v>
      </c>
      <c r="AD141" s="12" t="s">
        <v>168</v>
      </c>
      <c r="AE141" s="12" t="s">
        <v>96</v>
      </c>
      <c r="AF141" s="11"/>
      <c r="AG141" s="12" t="s">
        <v>93</v>
      </c>
      <c r="AH141" s="12" t="s">
        <v>94</v>
      </c>
      <c r="AI141" s="12" t="s">
        <v>168</v>
      </c>
      <c r="AJ141" s="12" t="s">
        <v>96</v>
      </c>
      <c r="AK141" s="11"/>
      <c r="AL141" s="12" t="s">
        <v>93</v>
      </c>
      <c r="AM141" s="12" t="s">
        <v>94</v>
      </c>
      <c r="AN141" s="12" t="s">
        <v>168</v>
      </c>
      <c r="AO141" s="12" t="s">
        <v>96</v>
      </c>
      <c r="AP141" s="11"/>
      <c r="AQ141" s="12" t="s">
        <v>93</v>
      </c>
      <c r="AR141" s="12" t="s">
        <v>94</v>
      </c>
      <c r="AS141" s="12" t="s">
        <v>168</v>
      </c>
      <c r="AT141" s="12" t="s">
        <v>96</v>
      </c>
      <c r="AU141" s="11"/>
      <c r="AV141" s="12" t="s">
        <v>93</v>
      </c>
      <c r="AW141" s="12" t="s">
        <v>94</v>
      </c>
      <c r="AX141" s="12" t="s">
        <v>168</v>
      </c>
      <c r="AY141" s="12" t="s">
        <v>96</v>
      </c>
      <c r="AZ141" s="11"/>
      <c r="BA141" s="12" t="s">
        <v>93</v>
      </c>
      <c r="BB141" s="12" t="s">
        <v>94</v>
      </c>
      <c r="BC141" s="12" t="s">
        <v>168</v>
      </c>
      <c r="BD141" s="12" t="s">
        <v>96</v>
      </c>
      <c r="BE141" s="11"/>
      <c r="BF141" s="12" t="s">
        <v>93</v>
      </c>
      <c r="BG141" s="12" t="s">
        <v>94</v>
      </c>
      <c r="BH141" s="12" t="s">
        <v>168</v>
      </c>
      <c r="BI141" s="12" t="s">
        <v>96</v>
      </c>
      <c r="BJ141" s="11"/>
      <c r="BK141" s="12" t="s">
        <v>93</v>
      </c>
      <c r="BL141" s="12" t="s">
        <v>94</v>
      </c>
      <c r="BM141" s="12" t="s">
        <v>168</v>
      </c>
      <c r="BN141" s="12" t="s">
        <v>96</v>
      </c>
      <c r="BO141" s="11"/>
      <c r="BP141" s="12" t="s">
        <v>93</v>
      </c>
      <c r="BQ141" s="12" t="s">
        <v>94</v>
      </c>
      <c r="BR141" s="12" t="s">
        <v>168</v>
      </c>
      <c r="BS141" s="12" t="s">
        <v>96</v>
      </c>
      <c r="BT141" s="11"/>
      <c r="BU141" s="12" t="s">
        <v>93</v>
      </c>
      <c r="BV141" s="12" t="s">
        <v>94</v>
      </c>
      <c r="BW141" s="12" t="s">
        <v>168</v>
      </c>
      <c r="BX141" s="12" t="s">
        <v>96</v>
      </c>
      <c r="BY141" s="11"/>
      <c r="BZ141" s="12" t="s">
        <v>93</v>
      </c>
      <c r="CA141" s="12" t="s">
        <v>94</v>
      </c>
      <c r="CB141" s="12" t="s">
        <v>168</v>
      </c>
      <c r="CC141" s="12" t="s">
        <v>96</v>
      </c>
      <c r="CD141" s="11"/>
      <c r="CE141" s="12" t="s">
        <v>93</v>
      </c>
      <c r="CF141" s="12" t="s">
        <v>94</v>
      </c>
      <c r="CG141" s="12" t="s">
        <v>168</v>
      </c>
      <c r="CH141" s="12" t="s">
        <v>96</v>
      </c>
      <c r="CI141" s="11"/>
      <c r="CJ141" s="12" t="s">
        <v>93</v>
      </c>
      <c r="CK141" s="12" t="s">
        <v>94</v>
      </c>
      <c r="CL141" s="12" t="s">
        <v>168</v>
      </c>
      <c r="CM141" s="12" t="s">
        <v>96</v>
      </c>
      <c r="CN141" s="11"/>
      <c r="CO141" s="12" t="s">
        <v>93</v>
      </c>
      <c r="CP141" s="12" t="s">
        <v>94</v>
      </c>
      <c r="CQ141" s="12" t="s">
        <v>168</v>
      </c>
      <c r="CR141" s="12" t="s">
        <v>96</v>
      </c>
      <c r="CS141" s="11"/>
      <c r="CT141" s="12" t="s">
        <v>93</v>
      </c>
      <c r="CU141" s="12" t="s">
        <v>94</v>
      </c>
      <c r="CV141" s="12" t="s">
        <v>168</v>
      </c>
      <c r="CW141" s="12" t="s">
        <v>96</v>
      </c>
      <c r="CX141" s="11"/>
      <c r="CY141" s="12" t="s">
        <v>93</v>
      </c>
      <c r="CZ141" s="12" t="s">
        <v>94</v>
      </c>
      <c r="DA141" s="12" t="s">
        <v>168</v>
      </c>
      <c r="DB141" s="12" t="s">
        <v>96</v>
      </c>
      <c r="DC141" s="11"/>
      <c r="DD141" s="12" t="s">
        <v>93</v>
      </c>
      <c r="DE141" s="12" t="s">
        <v>94</v>
      </c>
      <c r="DF141" s="12" t="s">
        <v>168</v>
      </c>
      <c r="DG141" s="12" t="s">
        <v>96</v>
      </c>
      <c r="DH141" s="11"/>
      <c r="DI141" s="12" t="s">
        <v>93</v>
      </c>
      <c r="DJ141" s="12" t="s">
        <v>94</v>
      </c>
      <c r="DK141" s="12" t="s">
        <v>168</v>
      </c>
      <c r="DL141" s="12" t="s">
        <v>96</v>
      </c>
      <c r="DM141" s="11"/>
      <c r="DN141" s="12" t="s">
        <v>93</v>
      </c>
      <c r="DO141" s="12" t="s">
        <v>94</v>
      </c>
      <c r="DP141" s="12" t="s">
        <v>168</v>
      </c>
      <c r="DQ141" s="12" t="s">
        <v>96</v>
      </c>
      <c r="DR141" s="11"/>
      <c r="DS141" s="12" t="s">
        <v>93</v>
      </c>
      <c r="DT141" s="12" t="s">
        <v>94</v>
      </c>
      <c r="DU141" s="12" t="s">
        <v>168</v>
      </c>
      <c r="DV141" s="12" t="s">
        <v>96</v>
      </c>
      <c r="DW141" s="11"/>
      <c r="DX141" s="12" t="s">
        <v>93</v>
      </c>
      <c r="DY141" s="12" t="s">
        <v>94</v>
      </c>
      <c r="DZ141" s="12" t="s">
        <v>168</v>
      </c>
      <c r="EA141" s="12" t="s">
        <v>96</v>
      </c>
      <c r="EB141" s="11"/>
      <c r="EC141" s="12" t="s">
        <v>93</v>
      </c>
      <c r="ED141" s="12" t="s">
        <v>94</v>
      </c>
      <c r="EE141" s="12" t="s">
        <v>168</v>
      </c>
      <c r="EF141" s="12" t="s">
        <v>96</v>
      </c>
      <c r="EG141" s="11"/>
      <c r="EH141" s="12" t="s">
        <v>93</v>
      </c>
      <c r="EI141" s="12" t="s">
        <v>94</v>
      </c>
      <c r="EJ141" s="12" t="s">
        <v>168</v>
      </c>
      <c r="EK141" s="12" t="s">
        <v>96</v>
      </c>
      <c r="EL141" s="11"/>
      <c r="EM141" s="12" t="s">
        <v>93</v>
      </c>
      <c r="EN141" s="12" t="s">
        <v>94</v>
      </c>
      <c r="EO141" s="12" t="s">
        <v>168</v>
      </c>
      <c r="EP141" s="12" t="s">
        <v>96</v>
      </c>
      <c r="EQ141" s="11"/>
      <c r="ER141" s="12" t="s">
        <v>93</v>
      </c>
      <c r="ES141" s="12" t="s">
        <v>94</v>
      </c>
      <c r="ET141" s="12" t="s">
        <v>168</v>
      </c>
      <c r="EU141" s="12" t="s">
        <v>96</v>
      </c>
      <c r="EV141" s="11"/>
      <c r="EW141" s="12" t="s">
        <v>93</v>
      </c>
      <c r="EX141" s="12" t="s">
        <v>94</v>
      </c>
      <c r="EY141" s="12" t="s">
        <v>168</v>
      </c>
      <c r="EZ141" s="12" t="s">
        <v>96</v>
      </c>
      <c r="FA141" s="11"/>
      <c r="FB141" s="12" t="s">
        <v>93</v>
      </c>
      <c r="FC141" s="12" t="s">
        <v>94</v>
      </c>
      <c r="FD141" s="12" t="s">
        <v>168</v>
      </c>
      <c r="FE141" s="12" t="s">
        <v>96</v>
      </c>
      <c r="FF141" s="11"/>
      <c r="FG141" s="12" t="s">
        <v>93</v>
      </c>
      <c r="FH141" s="12" t="s">
        <v>94</v>
      </c>
      <c r="FI141" s="12" t="s">
        <v>168</v>
      </c>
      <c r="FJ141" s="12" t="s">
        <v>96</v>
      </c>
      <c r="FK141" s="11"/>
      <c r="FL141" s="12" t="s">
        <v>93</v>
      </c>
      <c r="FM141" s="12" t="s">
        <v>94</v>
      </c>
      <c r="FN141" s="12" t="s">
        <v>168</v>
      </c>
      <c r="FO141" s="12" t="s">
        <v>96</v>
      </c>
      <c r="FP141" s="11"/>
      <c r="FQ141" s="12" t="s">
        <v>93</v>
      </c>
      <c r="FR141" s="12" t="s">
        <v>94</v>
      </c>
      <c r="FS141" s="12" t="s">
        <v>168</v>
      </c>
      <c r="FT141" s="12" t="s">
        <v>96</v>
      </c>
      <c r="FU141" s="11"/>
      <c r="FV141" s="12" t="s">
        <v>93</v>
      </c>
      <c r="FW141" s="12" t="s">
        <v>94</v>
      </c>
      <c r="FX141" s="12" t="s">
        <v>168</v>
      </c>
      <c r="FY141" s="12" t="s">
        <v>96</v>
      </c>
      <c r="FZ141" s="11"/>
      <c r="GA141" s="12" t="s">
        <v>93</v>
      </c>
      <c r="GB141" s="12" t="s">
        <v>94</v>
      </c>
      <c r="GC141" s="12" t="s">
        <v>168</v>
      </c>
      <c r="GD141" s="12" t="s">
        <v>96</v>
      </c>
      <c r="GE141" s="3"/>
    </row>
    <row r="142" spans="1:187" x14ac:dyDescent="0.25">
      <c r="A142" s="12" t="s">
        <v>146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147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148</v>
      </c>
      <c r="B144" s="11"/>
      <c r="C144" s="12">
        <f t="shared" si="380"/>
        <v>6</v>
      </c>
      <c r="D144" s="12">
        <f t="shared" si="381"/>
        <v>1</v>
      </c>
      <c r="E144" s="12">
        <f t="shared" si="382"/>
        <v>5</v>
      </c>
      <c r="F144" s="13" t="str">
        <f t="shared" si="383"/>
        <v>16.67%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2</v>
      </c>
      <c r="S144" s="13">
        <v>1</v>
      </c>
      <c r="T144" s="13">
        <v>1</v>
      </c>
      <c r="U144" s="13" t="str">
        <f t="shared" si="389"/>
        <v>50%</v>
      </c>
      <c r="V144" s="11"/>
      <c r="W144" s="12">
        <f t="shared" si="390"/>
        <v>2</v>
      </c>
      <c r="X144" s="13">
        <v>0</v>
      </c>
      <c r="Y144" s="13">
        <v>2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1</v>
      </c>
      <c r="FR144" s="13">
        <v>0</v>
      </c>
      <c r="FS144" s="13">
        <v>1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149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150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151</v>
      </c>
      <c r="B147" s="11"/>
      <c r="C147" s="12">
        <f t="shared" si="380"/>
        <v>8</v>
      </c>
      <c r="D147" s="12">
        <f t="shared" si="381"/>
        <v>5</v>
      </c>
      <c r="E147" s="12">
        <f t="shared" si="382"/>
        <v>3</v>
      </c>
      <c r="F147" s="13" t="str">
        <f t="shared" si="383"/>
        <v>62.5%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2</v>
      </c>
      <c r="AC147" s="13">
        <v>2</v>
      </c>
      <c r="AD147" s="13">
        <v>0</v>
      </c>
      <c r="AE147" s="13" t="str">
        <f t="shared" si="393"/>
        <v>100%</v>
      </c>
      <c r="AF147" s="11"/>
      <c r="AG147" s="12">
        <f t="shared" si="394"/>
        <v>3</v>
      </c>
      <c r="AH147" s="13">
        <v>2</v>
      </c>
      <c r="AI147" s="13">
        <v>1</v>
      </c>
      <c r="AJ147" s="13" t="str">
        <f t="shared" si="395"/>
        <v>66.67%</v>
      </c>
      <c r="AK147" s="11"/>
      <c r="AL147" s="12">
        <f t="shared" si="396"/>
        <v>2</v>
      </c>
      <c r="AM147" s="13">
        <v>1</v>
      </c>
      <c r="AN147" s="13">
        <v>1</v>
      </c>
      <c r="AO147" s="13" t="str">
        <f t="shared" si="397"/>
        <v>50%</v>
      </c>
      <c r="AP147" s="11"/>
      <c r="AQ147" s="12">
        <f t="shared" si="398"/>
        <v>1</v>
      </c>
      <c r="AR147" s="13">
        <v>0</v>
      </c>
      <c r="AS147" s="13">
        <v>1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152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153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154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155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156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157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158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159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160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161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162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163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164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176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245</v>
      </c>
      <c r="B162" s="11"/>
      <c r="C162" s="13">
        <f>SUM(C142:C161)</f>
        <v>29</v>
      </c>
      <c r="D162" s="13">
        <f>SUM(D142:D161)</f>
        <v>11</v>
      </c>
      <c r="E162" s="13">
        <f>SUM(E142:E161)</f>
        <v>18</v>
      </c>
      <c r="F162" s="13" t="str">
        <f t="shared" si="383"/>
        <v>37.93%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2</v>
      </c>
      <c r="S162" s="12">
        <f>SUM(S142:S161)</f>
        <v>1</v>
      </c>
      <c r="T162" s="12">
        <f>SUM(T142:T161)</f>
        <v>1</v>
      </c>
      <c r="U162" s="13" t="str">
        <f t="shared" si="389"/>
        <v>50%</v>
      </c>
      <c r="V162" s="11"/>
      <c r="W162" s="13">
        <f>SUM(W142:W161)</f>
        <v>3</v>
      </c>
      <c r="X162" s="12">
        <f>SUM(X142:X161)</f>
        <v>1</v>
      </c>
      <c r="Y162" s="12">
        <f>SUM(Y142:Y161)</f>
        <v>2</v>
      </c>
      <c r="Z162" s="13" t="str">
        <f t="shared" si="391"/>
        <v>33.33%</v>
      </c>
      <c r="AA162" s="11"/>
      <c r="AB162" s="13">
        <f>SUM(AB142:AB161)</f>
        <v>7</v>
      </c>
      <c r="AC162" s="12">
        <f>SUM(AC142:AC161)</f>
        <v>3</v>
      </c>
      <c r="AD162" s="12">
        <f>SUM(AD142:AD161)</f>
        <v>4</v>
      </c>
      <c r="AE162" s="13" t="str">
        <f t="shared" si="393"/>
        <v>42.86%</v>
      </c>
      <c r="AF162" s="11"/>
      <c r="AG162" s="13">
        <f>SUM(AG142:AG161)</f>
        <v>6</v>
      </c>
      <c r="AH162" s="13">
        <f>SUM(AH142:AH161)</f>
        <v>3</v>
      </c>
      <c r="AI162" s="13">
        <f>SUM(AI142:AI161)</f>
        <v>3</v>
      </c>
      <c r="AJ162" s="13" t="str">
        <f t="shared" si="395"/>
        <v>50%</v>
      </c>
      <c r="AK162" s="11"/>
      <c r="AL162" s="13">
        <f>SUM(AL142:AL161)</f>
        <v>2</v>
      </c>
      <c r="AM162" s="12">
        <f>SUM(AM142:AM161)</f>
        <v>1</v>
      </c>
      <c r="AN162" s="12">
        <f>SUM(AN142:AN161)</f>
        <v>1</v>
      </c>
      <c r="AO162" s="13" t="str">
        <f t="shared" si="397"/>
        <v>50%</v>
      </c>
      <c r="AP162" s="11"/>
      <c r="AQ162" s="13">
        <f>SUM(AQ142:AQ161)</f>
        <v>3</v>
      </c>
      <c r="AR162" s="12">
        <f>SUM(AR142:AR161)</f>
        <v>0</v>
      </c>
      <c r="AS162" s="12">
        <f>SUM(AS142:AS161)</f>
        <v>3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1</v>
      </c>
      <c r="FR162" s="12">
        <f>SUM(FR142:FR161)</f>
        <v>0</v>
      </c>
      <c r="FS162" s="12">
        <f>SUM(FS142:FS161)</f>
        <v>1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206</v>
      </c>
      <c r="B165" s="9" t="s">
        <v>166</v>
      </c>
      <c r="C165" s="9">
        <f>SUM(C162,C138)</f>
        <v>59</v>
      </c>
      <c r="D165" s="9">
        <f>SUM(D162,D138)</f>
        <v>25</v>
      </c>
      <c r="E165" s="9">
        <f>SUM(E162,E138)</f>
        <v>34</v>
      </c>
      <c r="F165" s="9" t="str">
        <f>IF(SUM(D138,D162),ROUND(D165*100/C165,2),0) &amp; "%"</f>
        <v>42.37%</v>
      </c>
      <c r="G165" s="9" t="s">
        <v>167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167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167</v>
      </c>
      <c r="R165" s="9">
        <f>SUM(R162,R138)</f>
        <v>6</v>
      </c>
      <c r="S165" s="9">
        <f>SUM(S162,S138)</f>
        <v>3</v>
      </c>
      <c r="T165" s="9">
        <f>SUM(T162,T138)</f>
        <v>3</v>
      </c>
      <c r="U165" s="9" t="str">
        <f>IF(SUM(S138,S162),ROUND(S165*100/R165,2),0) &amp; "%"</f>
        <v>50%</v>
      </c>
      <c r="V165" s="9" t="s">
        <v>167</v>
      </c>
      <c r="W165" s="9">
        <f>SUM(W162,W138)</f>
        <v>9</v>
      </c>
      <c r="X165" s="9">
        <f>SUM(X162,X138)</f>
        <v>3</v>
      </c>
      <c r="Y165" s="9">
        <f>SUM(Y162,Y138)</f>
        <v>6</v>
      </c>
      <c r="Z165" s="9" t="str">
        <f>IF(SUM(X138,X162),ROUND(X165*100/W165,2),0) &amp; "%"</f>
        <v>33.33%</v>
      </c>
      <c r="AA165" s="9" t="s">
        <v>167</v>
      </c>
      <c r="AB165" s="9">
        <f>SUM(AB162,AB138)</f>
        <v>9</v>
      </c>
      <c r="AC165" s="9">
        <f>SUM(AC162,AC138)</f>
        <v>4</v>
      </c>
      <c r="AD165" s="9">
        <f>SUM(AD162,AD138)</f>
        <v>5</v>
      </c>
      <c r="AE165" s="9" t="str">
        <f>IF(SUM(AC138,AC162),ROUND(AC165*100/AB165,2),0) &amp; "%"</f>
        <v>44.44%</v>
      </c>
      <c r="AF165" s="9" t="s">
        <v>167</v>
      </c>
      <c r="AG165" s="9">
        <f>SUM(AG162,AG138)</f>
        <v>11</v>
      </c>
      <c r="AH165" s="9">
        <f>SUM(AH162,AH138)</f>
        <v>6</v>
      </c>
      <c r="AI165" s="9">
        <f>SUM(AI162,AI138)</f>
        <v>5</v>
      </c>
      <c r="AJ165" s="9" t="str">
        <f>IF(SUM(AH138,AH162),ROUND(AH165*100/AG165,2),0) &amp; "%"</f>
        <v>54.55%</v>
      </c>
      <c r="AK165" s="9" t="s">
        <v>167</v>
      </c>
      <c r="AL165" s="9">
        <f>SUM(AL162,AL138)</f>
        <v>5</v>
      </c>
      <c r="AM165" s="9">
        <f>SUM(AM162,AM138)</f>
        <v>2</v>
      </c>
      <c r="AN165" s="9">
        <f>SUM(AN162,AN138)</f>
        <v>3</v>
      </c>
      <c r="AO165" s="9" t="str">
        <f>IF(SUM(AM138,AM162),ROUND(AM165*100/AL165,2),0) &amp; "%"</f>
        <v>40%</v>
      </c>
      <c r="AP165" s="9" t="s">
        <v>167</v>
      </c>
      <c r="AQ165" s="9">
        <f>SUM(AQ162,AQ138)</f>
        <v>8</v>
      </c>
      <c r="AR165" s="9">
        <f>SUM(AR162,AR138)</f>
        <v>2</v>
      </c>
      <c r="AS165" s="9">
        <f>SUM(AS162,AS138)</f>
        <v>6</v>
      </c>
      <c r="AT165" s="9" t="str">
        <f>IF(SUM(AR138,AR162),ROUND(AR165*100/AQ165,2),0) &amp; "%"</f>
        <v>25%</v>
      </c>
      <c r="AU165" s="9" t="s">
        <v>167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167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167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167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167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167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167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167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167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167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167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167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167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167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167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167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167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167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167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167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167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167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167</v>
      </c>
      <c r="FB165" s="9">
        <f>SUM(FB162,FB138)</f>
        <v>2</v>
      </c>
      <c r="FC165" s="9">
        <f>SUM(FC162,FC138)</f>
        <v>0</v>
      </c>
      <c r="FD165" s="9">
        <f>SUM(FD162,FD138)</f>
        <v>2</v>
      </c>
      <c r="FE165" s="9" t="str">
        <f>IF(SUM(FC138,FC162),ROUND(FC165*100/FB165,2),0) &amp; "%"</f>
        <v>0%</v>
      </c>
      <c r="FF165" s="9" t="s">
        <v>167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167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167</v>
      </c>
      <c r="FQ165" s="9">
        <f>SUM(FQ162,FQ138)</f>
        <v>2</v>
      </c>
      <c r="FR165" s="9">
        <f>SUM(FR162,FR138)</f>
        <v>0</v>
      </c>
      <c r="FS165" s="9">
        <f>SUM(FS162,FS138)</f>
        <v>2</v>
      </c>
      <c r="FT165" s="9" t="str">
        <f>IF(SUM(FR138,FR162),ROUND(FR165*100/FQ165,2),0) &amp; "%"</f>
        <v>0%</v>
      </c>
      <c r="FU165" s="9" t="s">
        <v>167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167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205</v>
      </c>
      <c r="B166" s="9" t="s">
        <v>170</v>
      </c>
      <c r="C166" s="9">
        <f>SUM(C165,C106)</f>
        <v>183</v>
      </c>
      <c r="D166" s="9">
        <f>SUM(D165,D106)</f>
        <v>106</v>
      </c>
      <c r="E166" s="9">
        <f>SUM(E165,E106)</f>
        <v>77</v>
      </c>
      <c r="F166" s="15" t="str">
        <f>IF(SUM(C162,C138,C103,C75),ROUND((D166/C166)*100,2),0) &amp; "%"</f>
        <v>57.92%</v>
      </c>
      <c r="G166" s="9" t="s">
        <v>185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185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185</v>
      </c>
      <c r="R166" s="9">
        <f>SUM(R165,R106)</f>
        <v>22</v>
      </c>
      <c r="S166" s="9">
        <f>SUM(S165,S106)</f>
        <v>13</v>
      </c>
      <c r="T166" s="9">
        <f>SUM(T165,T106)</f>
        <v>9</v>
      </c>
      <c r="U166" s="15" t="str">
        <f>IF(SUM(R162,R138,R103,R75),ROUND((S166/R166)*100,2),0) &amp; "%"</f>
        <v>59.09%</v>
      </c>
      <c r="V166" s="9" t="s">
        <v>185</v>
      </c>
      <c r="W166" s="9">
        <f>SUM(W165,W106)</f>
        <v>30</v>
      </c>
      <c r="X166" s="9">
        <f>SUM(X165,X106)</f>
        <v>16</v>
      </c>
      <c r="Y166" s="9">
        <f>SUM(Y165,Y106)</f>
        <v>14</v>
      </c>
      <c r="Z166" s="15" t="str">
        <f>IF(SUM(W162,W138,W103,W75),ROUND((X166/W166)*100,2),0) &amp; "%"</f>
        <v>53.33%</v>
      </c>
      <c r="AA166" s="9" t="s">
        <v>185</v>
      </c>
      <c r="AB166" s="9">
        <f>SUM(AB165,AB106)</f>
        <v>30</v>
      </c>
      <c r="AC166" s="9">
        <f>SUM(AC165,AC106)</f>
        <v>18</v>
      </c>
      <c r="AD166" s="9">
        <f>SUM(AD165,AD106)</f>
        <v>12</v>
      </c>
      <c r="AE166" s="15" t="str">
        <f>IF(SUM(AB162,AB138,AB103,AB75),ROUND((AC166/AB166)*100,2),0) &amp; "%"</f>
        <v>60%</v>
      </c>
      <c r="AF166" s="9" t="s">
        <v>185</v>
      </c>
      <c r="AG166" s="9">
        <f>SUM(AG165,AG106)</f>
        <v>29</v>
      </c>
      <c r="AH166" s="9">
        <f>SUM(AH165,AH106)</f>
        <v>20</v>
      </c>
      <c r="AI166" s="9">
        <f>SUM(AI165,AI106)</f>
        <v>9</v>
      </c>
      <c r="AJ166" s="15" t="str">
        <f>IF(SUM(AG162,AG138,AG103,AG75),ROUND((AH166/AG166)*100,2),0) &amp; "%"</f>
        <v>68.97%</v>
      </c>
      <c r="AK166" s="9" t="s">
        <v>185</v>
      </c>
      <c r="AL166" s="9">
        <f>SUM(AL165,AL106)</f>
        <v>14</v>
      </c>
      <c r="AM166" s="9">
        <f>SUM(AM165,AM106)</f>
        <v>10</v>
      </c>
      <c r="AN166" s="9">
        <f>SUM(AN165,AN106)</f>
        <v>4</v>
      </c>
      <c r="AO166" s="15" t="str">
        <f>IF(SUM(AL162,AL138,AL103,AL75),ROUND((AM166/AL166)*100,2),0) &amp; "%"</f>
        <v>71.43%</v>
      </c>
      <c r="AP166" s="9" t="s">
        <v>185</v>
      </c>
      <c r="AQ166" s="9">
        <f>SUM(AQ165,AQ106)</f>
        <v>15</v>
      </c>
      <c r="AR166" s="9">
        <f>SUM(AR165,AR106)</f>
        <v>4</v>
      </c>
      <c r="AS166" s="9">
        <f>SUM(AS165,AS106)</f>
        <v>11</v>
      </c>
      <c r="AT166" s="15" t="str">
        <f>IF(SUM(AQ162,AQ138,AQ103,AQ75),ROUND((AR166/AQ166)*100,2),0) &amp; "%"</f>
        <v>26.67%</v>
      </c>
      <c r="AU166" s="9" t="s">
        <v>185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185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185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185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185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185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185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185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185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185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185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185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185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185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185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185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185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185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185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185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185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185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185</v>
      </c>
      <c r="FB166" s="9">
        <f>SUM(FB165,FB106)</f>
        <v>5</v>
      </c>
      <c r="FC166" s="9">
        <f>SUM(FC165,FC106)</f>
        <v>1</v>
      </c>
      <c r="FD166" s="9">
        <f>SUM(FD165,FD106)</f>
        <v>4</v>
      </c>
      <c r="FE166" s="15" t="str">
        <f>IF(SUM(FB162,FB138,FB103,FB75),ROUND((FC166/FB166)*100,2),0) &amp; "%"</f>
        <v>20%</v>
      </c>
      <c r="FF166" s="9" t="s">
        <v>185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185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185</v>
      </c>
      <c r="FQ166" s="9">
        <f>SUM(FQ165,FQ106)</f>
        <v>5</v>
      </c>
      <c r="FR166" s="9">
        <f>SUM(FR165,FR106)</f>
        <v>1</v>
      </c>
      <c r="FS166" s="9">
        <f>SUM(FS165,FS106)</f>
        <v>4</v>
      </c>
      <c r="FT166" s="15" t="str">
        <f>IF(SUM(FQ162,FQ138,FQ103,FQ75),ROUND((FR166/FQ166)*100,2),0) &amp; "%"</f>
        <v>20%</v>
      </c>
      <c r="FU166" s="9" t="s">
        <v>185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185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171</v>
      </c>
      <c r="B167" s="10"/>
      <c r="C167" s="9" t="s">
        <v>171</v>
      </c>
      <c r="D167" s="9"/>
      <c r="E167" s="9"/>
      <c r="F167" s="9">
        <f>+SUM(C162,C138,C103,C75)</f>
        <v>183</v>
      </c>
      <c r="G167" s="10"/>
      <c r="H167" s="9" t="s">
        <v>171</v>
      </c>
      <c r="I167" s="9"/>
      <c r="J167" s="9"/>
      <c r="K167" s="9">
        <f>+SUM(H162,H138,H103,H75)</f>
        <v>8</v>
      </c>
      <c r="L167" s="10"/>
      <c r="M167" s="9" t="s">
        <v>171</v>
      </c>
      <c r="N167" s="9"/>
      <c r="O167" s="9"/>
      <c r="P167" s="9">
        <f>+SUM(M162,M138,M103,M75)</f>
        <v>14</v>
      </c>
      <c r="Q167" s="10"/>
      <c r="R167" s="9" t="s">
        <v>171</v>
      </c>
      <c r="S167" s="9"/>
      <c r="T167" s="9"/>
      <c r="U167" s="9">
        <f>+SUM(R162,R138,R103,R75)</f>
        <v>22</v>
      </c>
      <c r="V167" s="10"/>
      <c r="W167" s="9" t="s">
        <v>171</v>
      </c>
      <c r="X167" s="9"/>
      <c r="Y167" s="9"/>
      <c r="Z167" s="9">
        <f>+SUM(W162,W138,W103,W75)</f>
        <v>30</v>
      </c>
      <c r="AA167" s="10"/>
      <c r="AB167" s="9" t="s">
        <v>171</v>
      </c>
      <c r="AC167" s="9"/>
      <c r="AD167" s="9"/>
      <c r="AE167" s="9">
        <f>+SUM(AB162,AB138,AB103,AB75)</f>
        <v>30</v>
      </c>
      <c r="AF167" s="10"/>
      <c r="AG167" s="9" t="s">
        <v>171</v>
      </c>
      <c r="AH167" s="9"/>
      <c r="AI167" s="9"/>
      <c r="AJ167" s="9">
        <f>+SUM(AG162,AG138,AG103,AG75)</f>
        <v>29</v>
      </c>
      <c r="AK167" s="10"/>
      <c r="AL167" s="9" t="s">
        <v>171</v>
      </c>
      <c r="AM167" s="9"/>
      <c r="AN167" s="9"/>
      <c r="AO167" s="9">
        <f>+SUM(AL162,AL138,AL103,AL75)</f>
        <v>14</v>
      </c>
      <c r="AP167" s="10"/>
      <c r="AQ167" s="9" t="s">
        <v>171</v>
      </c>
      <c r="AR167" s="9"/>
      <c r="AS167" s="9"/>
      <c r="AT167" s="9">
        <f>+SUM(AQ162,AQ138,AQ103,AQ75)</f>
        <v>15</v>
      </c>
      <c r="AU167" s="10"/>
      <c r="AV167" s="9" t="s">
        <v>171</v>
      </c>
      <c r="AW167" s="9"/>
      <c r="AX167" s="9"/>
      <c r="AY167" s="9">
        <f>+SUM(AV162,AV138,AV103,AV75)</f>
        <v>3</v>
      </c>
      <c r="AZ167" s="10"/>
      <c r="BA167" s="9" t="s">
        <v>171</v>
      </c>
      <c r="BB167" s="9"/>
      <c r="BC167" s="9"/>
      <c r="BD167" s="9">
        <f>+SUM(BA162,BA138,BA103,BA75)</f>
        <v>0</v>
      </c>
      <c r="BE167" s="10"/>
      <c r="BF167" s="9" t="s">
        <v>171</v>
      </c>
      <c r="BG167" s="9"/>
      <c r="BH167" s="9"/>
      <c r="BI167" s="9">
        <f>+SUM(BF162,BF138,BF103,BF75)</f>
        <v>1</v>
      </c>
      <c r="BJ167" s="10"/>
      <c r="BK167" s="9" t="s">
        <v>171</v>
      </c>
      <c r="BL167" s="9"/>
      <c r="BM167" s="9"/>
      <c r="BN167" s="9">
        <f>+SUM(BK162,BK138,BK103,BK75)</f>
        <v>0</v>
      </c>
      <c r="BO167" s="10"/>
      <c r="BP167" s="9" t="s">
        <v>171</v>
      </c>
      <c r="BQ167" s="9"/>
      <c r="BR167" s="9"/>
      <c r="BS167" s="9">
        <f>+SUM(BP162,BP138,BP103,BP75)</f>
        <v>0</v>
      </c>
      <c r="BT167" s="10"/>
      <c r="BU167" s="9" t="s">
        <v>171</v>
      </c>
      <c r="BV167" s="9"/>
      <c r="BW167" s="9"/>
      <c r="BX167" s="9">
        <f>+SUM(BU162,BU138,BU103,BU75)</f>
        <v>0</v>
      </c>
      <c r="BY167" s="10"/>
      <c r="BZ167" s="9" t="s">
        <v>171</v>
      </c>
      <c r="CA167" s="9"/>
      <c r="CB167" s="9"/>
      <c r="CC167" s="9">
        <f>+SUM(BZ162,BZ138,BZ103,BZ75)</f>
        <v>0</v>
      </c>
      <c r="CD167" s="10"/>
      <c r="CE167" s="9" t="s">
        <v>171</v>
      </c>
      <c r="CF167" s="9"/>
      <c r="CG167" s="9"/>
      <c r="CH167" s="9">
        <f>+SUM(CE162,CE138,CE103,CE75)</f>
        <v>0</v>
      </c>
      <c r="CI167" s="10"/>
      <c r="CJ167" s="9" t="s">
        <v>171</v>
      </c>
      <c r="CK167" s="9"/>
      <c r="CL167" s="9"/>
      <c r="CM167" s="9">
        <f>+SUM(CJ162,CJ138,CJ103,CJ75)</f>
        <v>0</v>
      </c>
      <c r="CN167" s="10"/>
      <c r="CO167" s="9" t="s">
        <v>171</v>
      </c>
      <c r="CP167" s="9"/>
      <c r="CQ167" s="9"/>
      <c r="CR167" s="9">
        <f>+SUM(CO162,CO138,CO103,CO75)</f>
        <v>0</v>
      </c>
      <c r="CS167" s="10"/>
      <c r="CT167" s="9" t="s">
        <v>171</v>
      </c>
      <c r="CU167" s="9"/>
      <c r="CV167" s="9"/>
      <c r="CW167" s="9">
        <f>+SUM(CT162,CT138,CT103,CT75)</f>
        <v>0</v>
      </c>
      <c r="CX167" s="10"/>
      <c r="CY167" s="9" t="s">
        <v>171</v>
      </c>
      <c r="CZ167" s="9"/>
      <c r="DA167" s="9"/>
      <c r="DB167" s="9">
        <f>+SUM(CY162,CY138,CY103,CY75)</f>
        <v>0</v>
      </c>
      <c r="DC167" s="10"/>
      <c r="DD167" s="9" t="s">
        <v>171</v>
      </c>
      <c r="DE167" s="9"/>
      <c r="DF167" s="9"/>
      <c r="DG167" s="9">
        <f>+SUM(DD162,DD138,DD103,DD75)</f>
        <v>0</v>
      </c>
      <c r="DH167" s="10"/>
      <c r="DI167" s="9" t="s">
        <v>171</v>
      </c>
      <c r="DJ167" s="9"/>
      <c r="DK167" s="9"/>
      <c r="DL167" s="9">
        <f>+SUM(DI162,DI138,DI103,DI75)</f>
        <v>4</v>
      </c>
      <c r="DM167" s="10"/>
      <c r="DN167" s="9" t="s">
        <v>171</v>
      </c>
      <c r="DO167" s="9"/>
      <c r="DP167" s="9"/>
      <c r="DQ167" s="9">
        <f>+SUM(DN162,DN138,DN103,DN75)</f>
        <v>4</v>
      </c>
      <c r="DR167" s="10"/>
      <c r="DS167" s="9" t="s">
        <v>171</v>
      </c>
      <c r="DT167" s="9"/>
      <c r="DU167" s="9"/>
      <c r="DV167" s="9">
        <f>+SUM(DS162,DS138,DS103,DS75)</f>
        <v>0</v>
      </c>
      <c r="DW167" s="10"/>
      <c r="DX167" s="9" t="s">
        <v>171</v>
      </c>
      <c r="DY167" s="9"/>
      <c r="DZ167" s="9"/>
      <c r="EA167" s="9">
        <f>+SUM(DX162,DX138,DX103,DX75)</f>
        <v>0</v>
      </c>
      <c r="EB167" s="10"/>
      <c r="EC167" s="9" t="s">
        <v>171</v>
      </c>
      <c r="ED167" s="9"/>
      <c r="EE167" s="9"/>
      <c r="EF167" s="9">
        <f>+SUM(EC162,EC138,EC103,EC75)</f>
        <v>4</v>
      </c>
      <c r="EG167" s="10"/>
      <c r="EH167" s="9" t="s">
        <v>171</v>
      </c>
      <c r="EI167" s="9"/>
      <c r="EJ167" s="9"/>
      <c r="EK167" s="9">
        <f>+SUM(EH162,EH138,EH103,EH75)</f>
        <v>0</v>
      </c>
      <c r="EL167" s="10"/>
      <c r="EM167" s="9" t="s">
        <v>171</v>
      </c>
      <c r="EN167" s="9"/>
      <c r="EO167" s="9"/>
      <c r="EP167" s="9">
        <f>+SUM(EM162,EM138,EM103,EM75)</f>
        <v>0</v>
      </c>
      <c r="EQ167" s="10"/>
      <c r="ER167" s="9" t="s">
        <v>171</v>
      </c>
      <c r="ES167" s="9"/>
      <c r="ET167" s="9"/>
      <c r="EU167" s="9">
        <f>+SUM(ER162,ER138,ER103,ER75)</f>
        <v>5</v>
      </c>
      <c r="EV167" s="10"/>
      <c r="EW167" s="9" t="s">
        <v>171</v>
      </c>
      <c r="EX167" s="9"/>
      <c r="EY167" s="9"/>
      <c r="EZ167" s="9">
        <f>+SUM(EW162,EW138,EW103,EW75)</f>
        <v>4</v>
      </c>
      <c r="FA167" s="10"/>
      <c r="FB167" s="9" t="s">
        <v>171</v>
      </c>
      <c r="FC167" s="9"/>
      <c r="FD167" s="9"/>
      <c r="FE167" s="9">
        <f>+SUM(FB162,FB138,FB103,FB75)</f>
        <v>5</v>
      </c>
      <c r="FF167" s="10"/>
      <c r="FG167" s="9" t="s">
        <v>171</v>
      </c>
      <c r="FH167" s="9"/>
      <c r="FI167" s="9"/>
      <c r="FJ167" s="9">
        <f>+SUM(FG162,FG138,FG103,FG75)</f>
        <v>0</v>
      </c>
      <c r="FK167" s="10"/>
      <c r="FL167" s="9" t="s">
        <v>171</v>
      </c>
      <c r="FM167" s="9"/>
      <c r="FN167" s="9"/>
      <c r="FO167" s="9">
        <f>+SUM(FL162,FL138,FL103,FL75)</f>
        <v>0</v>
      </c>
      <c r="FP167" s="10"/>
      <c r="FQ167" s="9" t="s">
        <v>171</v>
      </c>
      <c r="FR167" s="9"/>
      <c r="FS167" s="9"/>
      <c r="FT167" s="9">
        <f>+SUM(FQ162,FQ138,FQ103,FQ75)</f>
        <v>5</v>
      </c>
      <c r="FU167" s="10"/>
      <c r="FV167" s="9" t="s">
        <v>171</v>
      </c>
      <c r="FW167" s="9"/>
      <c r="FX167" s="9"/>
      <c r="FY167" s="9">
        <f>+SUM(FV162,FV138,FV103,FV75)</f>
        <v>0</v>
      </c>
      <c r="FZ167" s="10"/>
      <c r="GA167" s="9" t="s">
        <v>171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191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190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192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193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189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196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194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-50%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-44.44%</v>
      </c>
      <c r="AF178" s="22"/>
      <c r="AG178" s="22"/>
      <c r="AH178" s="22"/>
      <c r="AI178" s="22"/>
      <c r="AJ178" s="20" t="str">
        <f>(AJ175-AJ165)*100 &amp; "%"</f>
        <v>45.45%</v>
      </c>
      <c r="AK178" s="22"/>
      <c r="AL178" s="22"/>
      <c r="AM178" s="22"/>
      <c r="AN178" s="22"/>
      <c r="AO178" s="20" t="str">
        <f>(AO175-AO165)*100 &amp; "%"</f>
        <v>-40%</v>
      </c>
      <c r="AP178" s="22"/>
      <c r="AQ178" s="22"/>
      <c r="AR178" s="22"/>
      <c r="AS178" s="22"/>
      <c r="AT178" s="20" t="str">
        <f>(AT175-AT165)*100 &amp; "%"</f>
        <v>-25%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195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12.5%</v>
      </c>
      <c r="V179" s="22"/>
      <c r="W179" s="22"/>
      <c r="X179" s="22"/>
      <c r="Y179" s="22"/>
      <c r="Z179" s="20" t="str">
        <f>(Z176-Z106)*100 &amp; "%"</f>
        <v>13.1%</v>
      </c>
      <c r="AA179" s="22"/>
      <c r="AB179" s="22"/>
      <c r="AC179" s="22"/>
      <c r="AD179" s="22"/>
      <c r="AE179" s="20" t="str">
        <f>(AE176-AE106)*100 &amp; "%"</f>
        <v>13.33%</v>
      </c>
      <c r="AF179" s="22"/>
      <c r="AG179" s="22"/>
      <c r="AH179" s="22"/>
      <c r="AI179" s="22"/>
      <c r="AJ179" s="20" t="str">
        <f>(AJ176-AJ106)*100 &amp; "%"</f>
        <v>22.22%</v>
      </c>
      <c r="AK179" s="22"/>
      <c r="AL179" s="22"/>
      <c r="AM179" s="22"/>
      <c r="AN179" s="22"/>
      <c r="AO179" s="20" t="str">
        <f>(AO176-AO106)*100 &amp; "%"</f>
        <v>11.11%</v>
      </c>
      <c r="AP179" s="22"/>
      <c r="AQ179" s="22"/>
      <c r="AR179" s="22"/>
      <c r="AS179" s="22"/>
      <c r="AT179" s="20" t="str">
        <f>(AT176-AT106)*100 &amp; "%"</f>
        <v>-28.57%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-33.33%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-33.33%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197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0.15910000000000002</v>
      </c>
      <c r="V180" s="22"/>
      <c r="W180" s="22"/>
      <c r="X180" s="22"/>
      <c r="Y180" s="22"/>
      <c r="Z180" s="23">
        <f>Z177-Z166</f>
        <v>-3.3299999999999996E-2</v>
      </c>
      <c r="AA180" s="22"/>
      <c r="AB180" s="22"/>
      <c r="AC180" s="22"/>
      <c r="AD180" s="22"/>
      <c r="AE180" s="23">
        <f>AE177-AE166</f>
        <v>0.20000000000000007</v>
      </c>
      <c r="AF180" s="22"/>
      <c r="AG180" s="22"/>
      <c r="AH180" s="22"/>
      <c r="AI180" s="22"/>
      <c r="AJ180" s="23">
        <f>AJ177-AJ166</f>
        <v>0.31030000000000002</v>
      </c>
      <c r="AK180" s="22"/>
      <c r="AL180" s="22"/>
      <c r="AM180" s="22"/>
      <c r="AN180" s="22"/>
      <c r="AO180" s="23">
        <f>AO177-AO166</f>
        <v>0.28569999999999995</v>
      </c>
      <c r="AP180" s="22"/>
      <c r="AQ180" s="22"/>
      <c r="AR180" s="22"/>
      <c r="AS180" s="22"/>
      <c r="AT180" s="23">
        <f>AT177-AT166</f>
        <v>-0.26669999999999999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-0.2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-0.2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191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190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192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193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189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196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194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-50%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-44.44%</v>
      </c>
      <c r="AF189" s="22"/>
      <c r="AG189" s="22"/>
      <c r="AH189" s="22"/>
      <c r="AI189" s="22"/>
      <c r="AJ189" s="20" t="str">
        <f>(AJ186-AJ165)*100 &amp; "%"</f>
        <v>45.45%</v>
      </c>
      <c r="AK189" s="22"/>
      <c r="AL189" s="22"/>
      <c r="AM189" s="22"/>
      <c r="AN189" s="22"/>
      <c r="AO189" s="20" t="str">
        <f>(AO186-AO165)*100 &amp; "%"</f>
        <v>-40%</v>
      </c>
      <c r="AP189" s="22"/>
      <c r="AQ189" s="22"/>
      <c r="AR189" s="22"/>
      <c r="AS189" s="22"/>
      <c r="AT189" s="20" t="str">
        <f>(AT186-AT165)*100 &amp; "%"</f>
        <v>-25%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195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8.93000000000001%</v>
      </c>
      <c r="V190" s="22"/>
      <c r="W190" s="22"/>
      <c r="X190" s="22"/>
      <c r="Y190" s="22"/>
      <c r="Z190" s="20" t="str">
        <f>(Z187-Z106)*100 &amp; "%"</f>
        <v>21.43%</v>
      </c>
      <c r="AA190" s="22"/>
      <c r="AB190" s="22"/>
      <c r="AC190" s="22"/>
      <c r="AD190" s="22"/>
      <c r="AE190" s="20" t="str">
        <f>(AE187-AE106)*100 &amp; "%"</f>
        <v>0%</v>
      </c>
      <c r="AF190" s="22"/>
      <c r="AG190" s="22"/>
      <c r="AH190" s="22"/>
      <c r="AI190" s="22"/>
      <c r="AJ190" s="20" t="str">
        <f>(AJ187-AJ106)*100 &amp; "%"</f>
        <v>7.92999999999999%</v>
      </c>
      <c r="AK190" s="22"/>
      <c r="AL190" s="22"/>
      <c r="AM190" s="22"/>
      <c r="AN190" s="22"/>
      <c r="AO190" s="20" t="str">
        <f>(AO187-AO106)*100 &amp; "%"</f>
        <v>-8.89%</v>
      </c>
      <c r="AP190" s="22"/>
      <c r="AQ190" s="22"/>
      <c r="AR190" s="22"/>
      <c r="AS190" s="22"/>
      <c r="AT190" s="20" t="str">
        <f>(AT187-AT106)*100 &amp; "%"</f>
        <v>-3.57%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-33.33%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-33.33%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197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0.12340000000000007</v>
      </c>
      <c r="V191" s="22"/>
      <c r="W191" s="22"/>
      <c r="X191" s="22"/>
      <c r="Y191" s="22"/>
      <c r="Z191" s="23">
        <f>Z188-Z166</f>
        <v>0.30000000000000004</v>
      </c>
      <c r="AA191" s="22"/>
      <c r="AB191" s="22"/>
      <c r="AC191" s="22"/>
      <c r="AD191" s="22"/>
      <c r="AE191" s="23">
        <f>AE188-AE166</f>
        <v>6.6699999999999982E-2</v>
      </c>
      <c r="AF191" s="22"/>
      <c r="AG191" s="22"/>
      <c r="AH191" s="22"/>
      <c r="AI191" s="22"/>
      <c r="AJ191" s="23">
        <f>AJ188-AJ166</f>
        <v>0.21940000000000004</v>
      </c>
      <c r="AK191" s="22"/>
      <c r="AL191" s="22"/>
      <c r="AM191" s="22"/>
      <c r="AN191" s="22"/>
      <c r="AO191" s="23">
        <f>AO188-AO166</f>
        <v>8.5699999999999998E-2</v>
      </c>
      <c r="AP191" s="22"/>
      <c r="AQ191" s="22"/>
      <c r="AR191" s="22"/>
      <c r="AS191" s="22"/>
      <c r="AT191" s="23">
        <f>AT188-AT166</f>
        <v>-1.6699999999999993E-2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-0.2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-0.2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191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190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1</v>
      </c>
      <c r="AC195" s="20">
        <v>1</v>
      </c>
      <c r="AD195" s="20">
        <v>0</v>
      </c>
      <c r="AE195" s="20" t="str">
        <f t="shared" ref="AE195:AE199" si="603">IF(AB195,ROUND(AC195/AB195*100,2),0) &amp; "%"</f>
        <v>100%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192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2</v>
      </c>
      <c r="AH196" s="20">
        <v>1</v>
      </c>
      <c r="AI196" s="20">
        <v>1</v>
      </c>
      <c r="AJ196" s="20" t="str">
        <f t="shared" si="605"/>
        <v>50%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193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2</v>
      </c>
      <c r="AC197" s="20">
        <v>1</v>
      </c>
      <c r="AD197" s="20">
        <v>1</v>
      </c>
      <c r="AE197" s="20" t="str">
        <f t="shared" si="603"/>
        <v>50%</v>
      </c>
      <c r="AF197" s="22"/>
      <c r="AG197" s="20">
        <f t="shared" si="604"/>
        <v>3</v>
      </c>
      <c r="AH197" s="20">
        <v>2</v>
      </c>
      <c r="AI197" s="20">
        <v>1</v>
      </c>
      <c r="AJ197" s="20" t="str">
        <f t="shared" si="605"/>
        <v>66.67%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189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9</v>
      </c>
      <c r="X198" s="20">
        <v>5</v>
      </c>
      <c r="Y198" s="20">
        <v>4</v>
      </c>
      <c r="Z198" s="20" t="str">
        <f t="shared" si="601"/>
        <v>55.56%</v>
      </c>
      <c r="AA198" s="22"/>
      <c r="AB198" s="20">
        <f t="shared" si="602"/>
        <v>13</v>
      </c>
      <c r="AC198" s="20">
        <v>9</v>
      </c>
      <c r="AD198" s="20">
        <v>4</v>
      </c>
      <c r="AE198" s="20" t="str">
        <f t="shared" si="603"/>
        <v>69.23%</v>
      </c>
      <c r="AF198" s="22"/>
      <c r="AG198" s="20">
        <f t="shared" si="604"/>
        <v>11</v>
      </c>
      <c r="AH198" s="20">
        <v>9</v>
      </c>
      <c r="AI198" s="20">
        <v>2</v>
      </c>
      <c r="AJ198" s="20" t="str">
        <f t="shared" si="605"/>
        <v>81.82%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196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9</v>
      </c>
      <c r="X199" s="20">
        <f>SUM(X198,X197,X196,X195,X194)</f>
        <v>5</v>
      </c>
      <c r="Y199" s="20">
        <f>SUM(Y198,Y197,Y196,Y195,Y194)</f>
        <v>4</v>
      </c>
      <c r="Z199" s="20" t="str">
        <f t="shared" si="601"/>
        <v>55.56%</v>
      </c>
      <c r="AA199" s="22"/>
      <c r="AB199" s="20">
        <f>SUM(AB198,AB197,AB196,AB195,AB194)</f>
        <v>17</v>
      </c>
      <c r="AC199" s="20">
        <f>SUM(AC198,AC197,AC196,AC195,AC194)</f>
        <v>11</v>
      </c>
      <c r="AD199" s="20">
        <f>SUM(AD198,AD197,AD196,AD195,AD194)</f>
        <v>6</v>
      </c>
      <c r="AE199" s="20" t="str">
        <f t="shared" si="603"/>
        <v>64.71%</v>
      </c>
      <c r="AF199" s="22"/>
      <c r="AG199" s="20">
        <f>SUM(AG198,AG197,AG196,AG195,AG194)</f>
        <v>17</v>
      </c>
      <c r="AH199" s="20">
        <f>SUM(AH198,AH197,AH196,AH195,AH194)</f>
        <v>13</v>
      </c>
      <c r="AI199" s="20">
        <f>SUM(AI198,AI197,AI196,AI195,AI194)</f>
        <v>4</v>
      </c>
      <c r="AJ199" s="20" t="str">
        <f t="shared" si="605"/>
        <v>76.47%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194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5.56%</v>
      </c>
      <c r="AF200" s="22"/>
      <c r="AG200" s="22"/>
      <c r="AH200" s="22"/>
      <c r="AI200" s="22"/>
      <c r="AJ200" s="20" t="str">
        <f>(AJ197-AJ165)*100 &amp; "%"</f>
        <v>12.12%</v>
      </c>
      <c r="AK200" s="22"/>
      <c r="AL200" s="22"/>
      <c r="AM200" s="22"/>
      <c r="AN200" s="22"/>
      <c r="AO200" s="20" t="str">
        <f>(AO197-AO165)*100 &amp; "%"</f>
        <v>60%</v>
      </c>
      <c r="AP200" s="22"/>
      <c r="AQ200" s="22"/>
      <c r="AR200" s="22"/>
      <c r="AS200" s="22"/>
      <c r="AT200" s="20" t="str">
        <f>(AT197-AT165)*100 &amp; "%"</f>
        <v>-25%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195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-6.34%</v>
      </c>
      <c r="AA201" s="22"/>
      <c r="AB201" s="22"/>
      <c r="AC201" s="22"/>
      <c r="AD201" s="22"/>
      <c r="AE201" s="20" t="str">
        <f>(AE198-AE106)*100 &amp; "%"</f>
        <v>2.56000000000001%</v>
      </c>
      <c r="AF201" s="22"/>
      <c r="AG201" s="22"/>
      <c r="AH201" s="22"/>
      <c r="AI201" s="22"/>
      <c r="AJ201" s="20" t="str">
        <f>(AJ198-AJ106)*100 &amp; "%"</f>
        <v>4.04%</v>
      </c>
      <c r="AK201" s="22"/>
      <c r="AL201" s="22"/>
      <c r="AM201" s="22"/>
      <c r="AN201" s="22"/>
      <c r="AO201" s="20" t="str">
        <f>(AO198-AO106)*100 &amp; "%"</f>
        <v>-1.39%</v>
      </c>
      <c r="AP201" s="22"/>
      <c r="AQ201" s="22"/>
      <c r="AR201" s="22"/>
      <c r="AS201" s="22"/>
      <c r="AT201" s="20" t="str">
        <f>(AT198-AT106)*100 &amp; "%"</f>
        <v>4.76%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-33.33%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-33.33%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197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2.2299999999999986E-2</v>
      </c>
      <c r="AA202" s="22"/>
      <c r="AB202" s="22"/>
      <c r="AC202" s="22"/>
      <c r="AD202" s="22"/>
      <c r="AE202" s="23">
        <f>AE199-AE166</f>
        <v>4.7100000000000031E-2</v>
      </c>
      <c r="AF202" s="22"/>
      <c r="AG202" s="22"/>
      <c r="AH202" s="22"/>
      <c r="AI202" s="22"/>
      <c r="AJ202" s="23">
        <f>AJ199-AJ166</f>
        <v>7.5000000000000067E-2</v>
      </c>
      <c r="AK202" s="22"/>
      <c r="AL202" s="22"/>
      <c r="AM202" s="22"/>
      <c r="AN202" s="22"/>
      <c r="AO202" s="23">
        <f>AO199-AO166</f>
        <v>0.18569999999999998</v>
      </c>
      <c r="AP202" s="22"/>
      <c r="AQ202" s="22"/>
      <c r="AR202" s="22"/>
      <c r="AS202" s="22"/>
      <c r="AT202" s="23">
        <f>AT199-AT166</f>
        <v>6.6599999999999993E-2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-0.2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-0.2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191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190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2</v>
      </c>
      <c r="AR206" s="20">
        <v>0</v>
      </c>
      <c r="AS206" s="20">
        <v>2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192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3</v>
      </c>
      <c r="AC207" s="20">
        <v>2</v>
      </c>
      <c r="AD207" s="20">
        <v>1</v>
      </c>
      <c r="AE207" s="20" t="str">
        <f t="shared" si="673"/>
        <v>66.67%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1</v>
      </c>
      <c r="AR207" s="20">
        <v>0</v>
      </c>
      <c r="AS207" s="20">
        <v>1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193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3</v>
      </c>
      <c r="AC208" s="20">
        <v>2</v>
      </c>
      <c r="AD208" s="20">
        <v>1</v>
      </c>
      <c r="AE208" s="20" t="str">
        <f t="shared" si="673"/>
        <v>66.67%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3</v>
      </c>
      <c r="AR208" s="20">
        <v>0</v>
      </c>
      <c r="AS208" s="20">
        <v>3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189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9</v>
      </c>
      <c r="S209" s="20">
        <v>5</v>
      </c>
      <c r="T209" s="20">
        <v>4</v>
      </c>
      <c r="U209" s="20" t="str">
        <f t="shared" si="671"/>
        <v>55.56%</v>
      </c>
      <c r="V209" s="22"/>
      <c r="W209" s="22"/>
      <c r="X209" s="22"/>
      <c r="Y209" s="22"/>
      <c r="Z209" s="22"/>
      <c r="AA209" s="22"/>
      <c r="AB209" s="20">
        <f t="shared" si="672"/>
        <v>14</v>
      </c>
      <c r="AC209" s="20">
        <v>8</v>
      </c>
      <c r="AD209" s="20">
        <v>6</v>
      </c>
      <c r="AE209" s="20" t="str">
        <f t="shared" si="673"/>
        <v>57.14%</v>
      </c>
      <c r="AF209" s="22"/>
      <c r="AG209" s="20">
        <f t="shared" si="674"/>
        <v>7</v>
      </c>
      <c r="AH209" s="20">
        <v>5</v>
      </c>
      <c r="AI209" s="20">
        <v>2</v>
      </c>
      <c r="AJ209" s="20" t="str">
        <f t="shared" si="675"/>
        <v>71.43%</v>
      </c>
      <c r="AK209" s="22"/>
      <c r="AL209" s="20">
        <f t="shared" si="676"/>
        <v>5</v>
      </c>
      <c r="AM209" s="20">
        <v>5</v>
      </c>
      <c r="AN209" s="20">
        <v>0</v>
      </c>
      <c r="AO209" s="20" t="str">
        <f t="shared" si="677"/>
        <v>100%</v>
      </c>
      <c r="AP209" s="22"/>
      <c r="AQ209" s="20">
        <f t="shared" si="678"/>
        <v>3</v>
      </c>
      <c r="AR209" s="20">
        <v>0</v>
      </c>
      <c r="AS209" s="20">
        <v>3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2</v>
      </c>
      <c r="FC209" s="20">
        <v>1</v>
      </c>
      <c r="FD209" s="20">
        <v>1</v>
      </c>
      <c r="FE209" s="20" t="str">
        <f t="shared" si="725"/>
        <v>50%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2</v>
      </c>
      <c r="FR209" s="20">
        <v>1</v>
      </c>
      <c r="FS209" s="20">
        <v>1</v>
      </c>
      <c r="FT209" s="20" t="str">
        <f t="shared" si="731"/>
        <v>50%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196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9</v>
      </c>
      <c r="S210" s="20">
        <f>SUM(S209,S208,S207,S206,S205)</f>
        <v>5</v>
      </c>
      <c r="T210" s="20">
        <f>SUM(T209,T208,T207,T206,T205)</f>
        <v>4</v>
      </c>
      <c r="U210" s="20" t="str">
        <f t="shared" si="671"/>
        <v>55.56%</v>
      </c>
      <c r="V210" s="22"/>
      <c r="W210" s="22"/>
      <c r="X210" s="22"/>
      <c r="Y210" s="22"/>
      <c r="Z210" s="22"/>
      <c r="AA210" s="22"/>
      <c r="AB210" s="20">
        <f>SUM(AB209,AB208,AB207,AB206,AB205)</f>
        <v>20</v>
      </c>
      <c r="AC210" s="20">
        <f>SUM(AC209,AC208,AC207,AC206,AC205)</f>
        <v>12</v>
      </c>
      <c r="AD210" s="20">
        <f>SUM(AD209,AD208,AD207,AD206,AD205)</f>
        <v>8</v>
      </c>
      <c r="AE210" s="20" t="str">
        <f t="shared" si="673"/>
        <v>60%</v>
      </c>
      <c r="AF210" s="22"/>
      <c r="AG210" s="20">
        <f>SUM(AG209,AG208,AG207,AG206,AG205)</f>
        <v>9</v>
      </c>
      <c r="AH210" s="20">
        <f>SUM(AH209,AH208,AH207,AH206,AH205)</f>
        <v>7</v>
      </c>
      <c r="AI210" s="20">
        <f>SUM(AI209,AI208,AI207,AI206,AI205)</f>
        <v>2</v>
      </c>
      <c r="AJ210" s="20" t="str">
        <f t="shared" si="675"/>
        <v>77.78%</v>
      </c>
      <c r="AK210" s="22"/>
      <c r="AL210" s="20">
        <f>SUM(AL209,AL208,AL207,AL206,AL205)</f>
        <v>7</v>
      </c>
      <c r="AM210" s="20">
        <f>SUM(AM209,AM208,AM207,AM206,AM205)</f>
        <v>7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9</v>
      </c>
      <c r="AR210" s="20">
        <f>SUM(AR209,AR208,AR207,AR206,AR205)</f>
        <v>0</v>
      </c>
      <c r="AS210" s="20">
        <f>SUM(AS209,AS208,AS207,AS206,AS205)</f>
        <v>9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2</v>
      </c>
      <c r="FC210" s="20">
        <f>SUM(FC209,FC208,FC207,FC206,FC205)</f>
        <v>1</v>
      </c>
      <c r="FD210" s="20">
        <f>SUM(FD209,FD208,FD207,FD206,FD205)</f>
        <v>1</v>
      </c>
      <c r="FE210" s="20" t="str">
        <f t="shared" si="725"/>
        <v>50%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2</v>
      </c>
      <c r="FR210" s="20">
        <f>SUM(FR209,FR208,FR207,FR206,FR205)</f>
        <v>1</v>
      </c>
      <c r="FS210" s="20">
        <f>SUM(FS209,FS208,FS207,FS206,FS205)</f>
        <v>1</v>
      </c>
      <c r="FT210" s="20" t="str">
        <f t="shared" si="731"/>
        <v>50%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194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-50%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22.23%</v>
      </c>
      <c r="AF211" s="22"/>
      <c r="AG211" s="22"/>
      <c r="AH211" s="22"/>
      <c r="AI211" s="22"/>
      <c r="AJ211" s="20" t="str">
        <f>(AJ208-AJ165)*100 &amp; "%"</f>
        <v>45.45%</v>
      </c>
      <c r="AK211" s="22"/>
      <c r="AL211" s="22"/>
      <c r="AM211" s="22"/>
      <c r="AN211" s="22"/>
      <c r="AO211" s="20" t="str">
        <f>(AO208-AO165)*100 &amp; "%"</f>
        <v>60%</v>
      </c>
      <c r="AP211" s="22"/>
      <c r="AQ211" s="22"/>
      <c r="AR211" s="22"/>
      <c r="AS211" s="22"/>
      <c r="AT211" s="20" t="str">
        <f>(AT208-AT165)*100 &amp; "%"</f>
        <v>-25%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195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-6.94%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-9.52999999999999%</v>
      </c>
      <c r="AF212" s="22"/>
      <c r="AG212" s="22"/>
      <c r="AH212" s="22"/>
      <c r="AI212" s="22"/>
      <c r="AJ212" s="20" t="str">
        <f>(AJ209-AJ106)*100 &amp; "%"</f>
        <v>-6.35%</v>
      </c>
      <c r="AK212" s="22"/>
      <c r="AL212" s="22"/>
      <c r="AM212" s="22"/>
      <c r="AN212" s="22"/>
      <c r="AO212" s="20" t="str">
        <f>(AO209-AO106)*100 &amp; "%"</f>
        <v>11.11%</v>
      </c>
      <c r="AP212" s="22"/>
      <c r="AQ212" s="22"/>
      <c r="AR212" s="22"/>
      <c r="AS212" s="22"/>
      <c r="AT212" s="20" t="str">
        <f>(AT209-AT106)*100 &amp; "%"</f>
        <v>-28.57%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16.67%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16.67%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197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-3.5299999999999998E-2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0</v>
      </c>
      <c r="AF213" s="22"/>
      <c r="AG213" s="22"/>
      <c r="AH213" s="22"/>
      <c r="AI213" s="22"/>
      <c r="AJ213" s="23">
        <f>AJ210-AJ166</f>
        <v>8.8100000000000067E-2</v>
      </c>
      <c r="AK213" s="22"/>
      <c r="AL213" s="22"/>
      <c r="AM213" s="22"/>
      <c r="AN213" s="22"/>
      <c r="AO213" s="23">
        <f>AO210-AO166</f>
        <v>0.28569999999999995</v>
      </c>
      <c r="AP213" s="22"/>
      <c r="AQ213" s="22"/>
      <c r="AR213" s="22"/>
      <c r="AS213" s="22"/>
      <c r="AT213" s="23">
        <f>AT210-AT166</f>
        <v>-0.26669999999999999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0.3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0.3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191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190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3</v>
      </c>
      <c r="X217" s="20">
        <v>2</v>
      </c>
      <c r="Y217" s="20">
        <v>1</v>
      </c>
      <c r="Z217" s="20" t="str">
        <f t="shared" ref="Z217:Z221" si="743">IF(W217,ROUND(X217/W217*100,2),0) &amp; "%"</f>
        <v>66.67%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1</v>
      </c>
      <c r="AR217" s="20">
        <v>1</v>
      </c>
      <c r="AS217" s="20">
        <v>0</v>
      </c>
      <c r="AT217" s="20" t="str">
        <f t="shared" ref="AT217:AT221" si="749">IF(AQ217,ROUND(AR217/AQ217*100,2),0) &amp; "%"</f>
        <v>100%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192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1</v>
      </c>
      <c r="S218" s="20">
        <v>1</v>
      </c>
      <c r="T218" s="20">
        <v>0</v>
      </c>
      <c r="U218" s="20" t="str">
        <f t="shared" si="741"/>
        <v>100%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193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2</v>
      </c>
      <c r="S219" s="20">
        <v>1</v>
      </c>
      <c r="T219" s="20">
        <v>1</v>
      </c>
      <c r="U219" s="20" t="str">
        <f t="shared" si="741"/>
        <v>50%</v>
      </c>
      <c r="V219" s="22"/>
      <c r="W219" s="20">
        <f t="shared" si="742"/>
        <v>3</v>
      </c>
      <c r="X219" s="20">
        <v>2</v>
      </c>
      <c r="Y219" s="20">
        <v>1</v>
      </c>
      <c r="Z219" s="20" t="str">
        <f t="shared" si="743"/>
        <v>66.67%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1</v>
      </c>
      <c r="AR219" s="20">
        <v>1</v>
      </c>
      <c r="AS219" s="20">
        <v>0</v>
      </c>
      <c r="AT219" s="20" t="str">
        <f t="shared" si="749"/>
        <v>100%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189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13</v>
      </c>
      <c r="S220" s="20">
        <v>9</v>
      </c>
      <c r="T220" s="20">
        <v>4</v>
      </c>
      <c r="U220" s="20" t="str">
        <f t="shared" si="741"/>
        <v>69.23%</v>
      </c>
      <c r="V220" s="22"/>
      <c r="W220" s="20">
        <f t="shared" si="742"/>
        <v>14</v>
      </c>
      <c r="X220" s="20">
        <v>8</v>
      </c>
      <c r="Y220" s="20">
        <v>6</v>
      </c>
      <c r="Z220" s="20" t="str">
        <f t="shared" si="743"/>
        <v>57.14%</v>
      </c>
      <c r="AA220" s="22"/>
      <c r="AB220" s="22"/>
      <c r="AC220" s="22"/>
      <c r="AD220" s="22"/>
      <c r="AE220" s="22"/>
      <c r="AF220" s="22"/>
      <c r="AG220" s="20">
        <f t="shared" si="744"/>
        <v>8</v>
      </c>
      <c r="AH220" s="20">
        <v>8</v>
      </c>
      <c r="AI220" s="20">
        <v>0</v>
      </c>
      <c r="AJ220" s="20" t="str">
        <f t="shared" si="745"/>
        <v>100%</v>
      </c>
      <c r="AK220" s="22"/>
      <c r="AL220" s="20">
        <f t="shared" si="746"/>
        <v>6</v>
      </c>
      <c r="AM220" s="20">
        <v>6</v>
      </c>
      <c r="AN220" s="20">
        <v>0</v>
      </c>
      <c r="AO220" s="20" t="str">
        <f t="shared" si="747"/>
        <v>100%</v>
      </c>
      <c r="AP220" s="22"/>
      <c r="AQ220" s="20">
        <f t="shared" si="748"/>
        <v>3</v>
      </c>
      <c r="AR220" s="20">
        <v>0</v>
      </c>
      <c r="AS220" s="20">
        <v>3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2</v>
      </c>
      <c r="FC220" s="20">
        <v>1</v>
      </c>
      <c r="FD220" s="20">
        <v>1</v>
      </c>
      <c r="FE220" s="20" t="str">
        <f t="shared" si="795"/>
        <v>50%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2</v>
      </c>
      <c r="FR220" s="20">
        <v>1</v>
      </c>
      <c r="FS220" s="20">
        <v>1</v>
      </c>
      <c r="FT220" s="20" t="str">
        <f t="shared" si="801"/>
        <v>50%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196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17</v>
      </c>
      <c r="S221" s="20">
        <f>SUM(S220,S219,S218,S217,S216)</f>
        <v>11</v>
      </c>
      <c r="T221" s="20">
        <f>SUM(T220,T219,T218,T217,T216)</f>
        <v>6</v>
      </c>
      <c r="U221" s="20" t="str">
        <f t="shared" si="741"/>
        <v>64.71%</v>
      </c>
      <c r="V221" s="22"/>
      <c r="W221" s="20">
        <f>SUM(W220,W219,W218,W217,W216)</f>
        <v>20</v>
      </c>
      <c r="X221" s="20">
        <f>SUM(X220,X219,X218,X217,X216)</f>
        <v>12</v>
      </c>
      <c r="Y221" s="20">
        <f>SUM(Y220,Y219,Y218,Y217,Y216)</f>
        <v>8</v>
      </c>
      <c r="Z221" s="20" t="str">
        <f t="shared" si="743"/>
        <v>60%</v>
      </c>
      <c r="AA221" s="22"/>
      <c r="AB221" s="22"/>
      <c r="AC221" s="22"/>
      <c r="AD221" s="22"/>
      <c r="AE221" s="22"/>
      <c r="AF221" s="22"/>
      <c r="AG221" s="20">
        <f>SUM(AG220,AG219,AG218,AG217,AG216)</f>
        <v>8</v>
      </c>
      <c r="AH221" s="20">
        <f>SUM(AH220,AH219,AH218,AH217,AH216)</f>
        <v>8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6</v>
      </c>
      <c r="AM221" s="20">
        <f>SUM(AM220,AM219,AM218,AM217,AM216)</f>
        <v>6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5</v>
      </c>
      <c r="AR221" s="20">
        <f>SUM(AR220,AR219,AR218,AR217,AR216)</f>
        <v>2</v>
      </c>
      <c r="AS221" s="20">
        <f>SUM(AS220,AS219,AS218,AS217,AS216)</f>
        <v>3</v>
      </c>
      <c r="AT221" s="20" t="str">
        <f t="shared" si="749"/>
        <v>40%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2</v>
      </c>
      <c r="FC221" s="20">
        <f>SUM(FC220,FC219,FC218,FC217,FC216)</f>
        <v>1</v>
      </c>
      <c r="FD221" s="20">
        <f>SUM(FD220,FD219,FD218,FD217,FD216)</f>
        <v>1</v>
      </c>
      <c r="FE221" s="20" t="str">
        <f t="shared" si="795"/>
        <v>50%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2</v>
      </c>
      <c r="FR221" s="20">
        <f>SUM(FR220,FR219,FR218,FR217,FR216)</f>
        <v>1</v>
      </c>
      <c r="FS221" s="20">
        <f>SUM(FS220,FS219,FS218,FS217,FS216)</f>
        <v>1</v>
      </c>
      <c r="FT221" s="20" t="str">
        <f t="shared" si="801"/>
        <v>50%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194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0%</v>
      </c>
      <c r="V222" s="22"/>
      <c r="W222" s="22"/>
      <c r="X222" s="22"/>
      <c r="Y222" s="22"/>
      <c r="Z222" s="20" t="str">
        <f>(Z219-Z165)*100 &amp; "%"</f>
        <v>33.34%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-54.55%</v>
      </c>
      <c r="AK222" s="22"/>
      <c r="AL222" s="22"/>
      <c r="AM222" s="22"/>
      <c r="AN222" s="22"/>
      <c r="AO222" s="20" t="str">
        <f>(AO219-AO165)*100 &amp; "%"</f>
        <v>-40%</v>
      </c>
      <c r="AP222" s="22"/>
      <c r="AQ222" s="22"/>
      <c r="AR222" s="22"/>
      <c r="AS222" s="22"/>
      <c r="AT222" s="20" t="str">
        <f>(AT219-AT165)*100 &amp; "%"</f>
        <v>75%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195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6.73%</v>
      </c>
      <c r="V223" s="22"/>
      <c r="W223" s="22"/>
      <c r="X223" s="22"/>
      <c r="Y223" s="22"/>
      <c r="Z223" s="20" t="str">
        <f>(Z220-Z106)*100 &amp; "%"</f>
        <v>-4.76%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22.22%</v>
      </c>
      <c r="AK223" s="22"/>
      <c r="AL223" s="22"/>
      <c r="AM223" s="22"/>
      <c r="AN223" s="22"/>
      <c r="AO223" s="20" t="str">
        <f>(AO220-AO106)*100 &amp; "%"</f>
        <v>11.11%</v>
      </c>
      <c r="AP223" s="22"/>
      <c r="AQ223" s="22"/>
      <c r="AR223" s="22"/>
      <c r="AS223" s="22"/>
      <c r="AT223" s="20" t="str">
        <f>(AT220-AT106)*100 &amp; "%"</f>
        <v>-28.57%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16.67%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16.67%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197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5.6200000000000028E-2</v>
      </c>
      <c r="V224" s="22"/>
      <c r="W224" s="22"/>
      <c r="X224" s="22"/>
      <c r="Y224" s="22"/>
      <c r="Z224" s="23">
        <f>Z221-Z166</f>
        <v>6.6699999999999982E-2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0.31030000000000002</v>
      </c>
      <c r="AK224" s="22"/>
      <c r="AL224" s="22"/>
      <c r="AM224" s="22"/>
      <c r="AN224" s="22"/>
      <c r="AO224" s="23">
        <f>AO221-AO166</f>
        <v>0.28569999999999995</v>
      </c>
      <c r="AP224" s="22"/>
      <c r="AQ224" s="22"/>
      <c r="AR224" s="22"/>
      <c r="AS224" s="22"/>
      <c r="AT224" s="23">
        <f>AT221-AT166</f>
        <v>0.13330000000000003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0.3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0.3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191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190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2</v>
      </c>
      <c r="S228" s="20">
        <v>1</v>
      </c>
      <c r="T228" s="20">
        <v>1</v>
      </c>
      <c r="U228" s="20" t="str">
        <f t="shared" ref="U228:U232" si="811">IF(R228,ROUND(S228/R228*100,2),0) &amp; "%"</f>
        <v>50%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1</v>
      </c>
      <c r="AR228" s="20">
        <v>1</v>
      </c>
      <c r="AS228" s="20">
        <v>0</v>
      </c>
      <c r="AT228" s="20" t="str">
        <f t="shared" ref="AT228:AT232" si="819">IF(AQ228,ROUND(AR228/AQ228*100,2),0) &amp; "%"</f>
        <v>100%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1</v>
      </c>
      <c r="FC228" s="20">
        <v>0</v>
      </c>
      <c r="FD228" s="20">
        <v>1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192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1</v>
      </c>
      <c r="AM229" s="20">
        <v>1</v>
      </c>
      <c r="AN229" s="20">
        <v>0</v>
      </c>
      <c r="AO229" s="20" t="str">
        <f t="shared" si="817"/>
        <v>100%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193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3</v>
      </c>
      <c r="S230" s="20">
        <v>2</v>
      </c>
      <c r="T230" s="20">
        <v>1</v>
      </c>
      <c r="U230" s="20" t="str">
        <f t="shared" si="811"/>
        <v>66.67%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3</v>
      </c>
      <c r="AM230" s="20">
        <v>3</v>
      </c>
      <c r="AN230" s="20">
        <v>0</v>
      </c>
      <c r="AO230" s="20" t="str">
        <f t="shared" si="817"/>
        <v>100%</v>
      </c>
      <c r="AP230" s="22"/>
      <c r="AQ230" s="20">
        <f t="shared" si="818"/>
        <v>3</v>
      </c>
      <c r="AR230" s="20">
        <v>1</v>
      </c>
      <c r="AS230" s="20">
        <v>2</v>
      </c>
      <c r="AT230" s="20" t="str">
        <f t="shared" si="819"/>
        <v>33.33%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1</v>
      </c>
      <c r="FC230" s="20">
        <v>0</v>
      </c>
      <c r="FD230" s="20">
        <v>1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189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11</v>
      </c>
      <c r="S231" s="20">
        <v>9</v>
      </c>
      <c r="T231" s="20">
        <v>2</v>
      </c>
      <c r="U231" s="20" t="str">
        <f t="shared" si="811"/>
        <v>81.82%</v>
      </c>
      <c r="V231" s="22"/>
      <c r="W231" s="20">
        <f t="shared" si="812"/>
        <v>7</v>
      </c>
      <c r="X231" s="20">
        <v>5</v>
      </c>
      <c r="Y231" s="20">
        <v>2</v>
      </c>
      <c r="Z231" s="20" t="str">
        <f t="shared" si="813"/>
        <v>71.43%</v>
      </c>
      <c r="AA231" s="22"/>
      <c r="AB231" s="20">
        <f t="shared" si="814"/>
        <v>8</v>
      </c>
      <c r="AC231" s="20">
        <v>8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3</v>
      </c>
      <c r="AR231" s="20">
        <v>1</v>
      </c>
      <c r="AS231" s="20">
        <v>2</v>
      </c>
      <c r="AT231" s="20" t="str">
        <f t="shared" si="819"/>
        <v>33.33%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1</v>
      </c>
      <c r="FC231" s="20">
        <v>0</v>
      </c>
      <c r="FD231" s="20">
        <v>1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1</v>
      </c>
      <c r="FR231" s="20">
        <v>0</v>
      </c>
      <c r="FS231" s="20">
        <v>1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196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17</v>
      </c>
      <c r="S232" s="20">
        <f>SUM(S231,S230,S229,S228,S227)</f>
        <v>13</v>
      </c>
      <c r="T232" s="20">
        <f>SUM(T231,T230,T229,T228,T227)</f>
        <v>4</v>
      </c>
      <c r="U232" s="20" t="str">
        <f t="shared" si="811"/>
        <v>76.47%</v>
      </c>
      <c r="V232" s="22"/>
      <c r="W232" s="20">
        <f>SUM(W231,W230,W229,W228,W227)</f>
        <v>9</v>
      </c>
      <c r="X232" s="20">
        <f>SUM(X231,X230,X229,X228,X227)</f>
        <v>7</v>
      </c>
      <c r="Y232" s="20">
        <f>SUM(Y231,Y230,Y229,Y228,Y227)</f>
        <v>2</v>
      </c>
      <c r="Z232" s="20" t="str">
        <f t="shared" si="813"/>
        <v>77.78%</v>
      </c>
      <c r="AA232" s="22"/>
      <c r="AB232" s="20">
        <f>SUM(AB231,AB230,AB229,AB228,AB227)</f>
        <v>8</v>
      </c>
      <c r="AC232" s="20">
        <f>SUM(AC231,AC230,AC229,AC228,AC227)</f>
        <v>8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13</v>
      </c>
      <c r="AM232" s="20">
        <f>SUM(AM231,AM230,AM229,AM228,AM227)</f>
        <v>12</v>
      </c>
      <c r="AN232" s="20">
        <f>SUM(AN231,AN230,AN229,AN228,AN227)</f>
        <v>1</v>
      </c>
      <c r="AO232" s="20" t="str">
        <f t="shared" si="817"/>
        <v>92.31%</v>
      </c>
      <c r="AP232" s="22"/>
      <c r="AQ232" s="20">
        <f>SUM(AQ231,AQ230,AQ229,AQ228,AQ227)</f>
        <v>9</v>
      </c>
      <c r="AR232" s="20">
        <f>SUM(AR231,AR230,AR229,AR228,AR227)</f>
        <v>3</v>
      </c>
      <c r="AS232" s="20">
        <f>SUM(AS231,AS230,AS229,AS228,AS227)</f>
        <v>6</v>
      </c>
      <c r="AT232" s="20" t="str">
        <f t="shared" si="819"/>
        <v>33.33%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3</v>
      </c>
      <c r="FC232" s="20">
        <f>SUM(FC231,FC230,FC229,FC228,FC227)</f>
        <v>0</v>
      </c>
      <c r="FD232" s="20">
        <f>SUM(FD231,FD230,FD229,FD228,FD227)</f>
        <v>3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1</v>
      </c>
      <c r="FR232" s="20">
        <f>SUM(FR231,FR230,FR229,FR228,FR227)</f>
        <v>0</v>
      </c>
      <c r="FS232" s="20">
        <f>SUM(FS231,FS230,FS229,FS228,FS227)</f>
        <v>1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194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16.67%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-44.44%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60%</v>
      </c>
      <c r="AP233" s="22"/>
      <c r="AQ233" s="22"/>
      <c r="AR233" s="22"/>
      <c r="AS233" s="22"/>
      <c r="AT233" s="20" t="str">
        <f>(AT230-AT165)*100 &amp; "%"</f>
        <v>8.33%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195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19.32%</v>
      </c>
      <c r="V234" s="22"/>
      <c r="W234" s="22"/>
      <c r="X234" s="22"/>
      <c r="Y234" s="22"/>
      <c r="Z234" s="20" t="str">
        <f>(Z231-Z106)*100 &amp; "%"</f>
        <v>9.53%</v>
      </c>
      <c r="AA234" s="22"/>
      <c r="AB234" s="22"/>
      <c r="AC234" s="22"/>
      <c r="AD234" s="22"/>
      <c r="AE234" s="20" t="str">
        <f>(AE231-AE106)*100 &amp; "%"</f>
        <v>33.33%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-3.18000000000001%</v>
      </c>
      <c r="AP234" s="22"/>
      <c r="AQ234" s="22"/>
      <c r="AR234" s="22"/>
      <c r="AS234" s="22"/>
      <c r="AT234" s="20" t="str">
        <f>(AT231-AT106)*100 &amp; "%"</f>
        <v>4.76%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-33.33%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-33.33%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197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0.17380000000000007</v>
      </c>
      <c r="V235" s="22"/>
      <c r="W235" s="22"/>
      <c r="X235" s="22"/>
      <c r="Y235" s="22"/>
      <c r="Z235" s="23">
        <f>Z232-Z166</f>
        <v>0.24450000000000005</v>
      </c>
      <c r="AA235" s="22"/>
      <c r="AB235" s="22"/>
      <c r="AC235" s="22"/>
      <c r="AD235" s="22"/>
      <c r="AE235" s="23">
        <f>AE232-AE166</f>
        <v>0.4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0.20879999999999999</v>
      </c>
      <c r="AP235" s="22"/>
      <c r="AQ235" s="22"/>
      <c r="AR235" s="22"/>
      <c r="AS235" s="22"/>
      <c r="AT235" s="23">
        <f>AT232-AT166</f>
        <v>6.6599999999999993E-2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-0.2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-0.2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191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190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1</v>
      </c>
      <c r="AH239" s="20">
        <v>1</v>
      </c>
      <c r="AI239" s="20">
        <v>0</v>
      </c>
      <c r="AJ239" s="20" t="str">
        <f t="shared" ref="AJ239:AJ243" si="887">IF(AG239,ROUND(AH239/AG239*100,2),0) &amp; "%"</f>
        <v>100%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1</v>
      </c>
      <c r="FR239" s="20">
        <v>0</v>
      </c>
      <c r="FS239" s="20">
        <v>1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192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193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3</v>
      </c>
      <c r="AH241" s="20">
        <v>3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1</v>
      </c>
      <c r="FR241" s="20">
        <v>0</v>
      </c>
      <c r="FS241" s="20">
        <v>1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189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5</v>
      </c>
      <c r="X242" s="20">
        <v>5</v>
      </c>
      <c r="Y242" s="20">
        <v>0</v>
      </c>
      <c r="Z242" s="20" t="str">
        <f t="shared" si="883"/>
        <v>100%</v>
      </c>
      <c r="AA242" s="22"/>
      <c r="AB242" s="20">
        <f t="shared" si="884"/>
        <v>6</v>
      </c>
      <c r="AC242" s="20">
        <v>6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1</v>
      </c>
      <c r="FR242" s="20">
        <v>1</v>
      </c>
      <c r="FS242" s="20">
        <v>0</v>
      </c>
      <c r="FT242" s="20" t="str">
        <f t="shared" si="941"/>
        <v>100%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196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7</v>
      </c>
      <c r="X243" s="20">
        <f>SUM(X242,X241,X240,X239,X238)</f>
        <v>7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6</v>
      </c>
      <c r="AC243" s="20">
        <f>SUM(AC242,AC241,AC240,AC239,AC238)</f>
        <v>6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13</v>
      </c>
      <c r="AH243" s="20">
        <f>SUM(AH242,AH241,AH240,AH239,AH238)</f>
        <v>12</v>
      </c>
      <c r="AI243" s="20">
        <f>SUM(AI242,AI241,AI240,AI239,AI238)</f>
        <v>1</v>
      </c>
      <c r="AJ243" s="20" t="str">
        <f t="shared" si="887"/>
        <v>92.31%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3</v>
      </c>
      <c r="FR243" s="20">
        <f>SUM(FR242,FR241,FR240,FR239,FR238)</f>
        <v>1</v>
      </c>
      <c r="FS243" s="20">
        <f>SUM(FS242,FS241,FS240,FS239,FS238)</f>
        <v>2</v>
      </c>
      <c r="FT243" s="20" t="str">
        <f t="shared" si="941"/>
        <v>33.33%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194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50%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-44.44%</v>
      </c>
      <c r="AF244" s="22"/>
      <c r="AG244" s="22"/>
      <c r="AH244" s="22"/>
      <c r="AI244" s="22"/>
      <c r="AJ244" s="20" t="str">
        <f>(AJ241-AJ165)*100 &amp; "%"</f>
        <v>45.45%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-25%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195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25%</v>
      </c>
      <c r="V245" s="22"/>
      <c r="W245" s="22"/>
      <c r="X245" s="22"/>
      <c r="Y245" s="22"/>
      <c r="Z245" s="20" t="str">
        <f>(Z242-Z106)*100 &amp; "%"</f>
        <v>38.1%</v>
      </c>
      <c r="AA245" s="22"/>
      <c r="AB245" s="22"/>
      <c r="AC245" s="22"/>
      <c r="AD245" s="22"/>
      <c r="AE245" s="20" t="str">
        <f>(AE242-AE106)*100 &amp; "%"</f>
        <v>33.33%</v>
      </c>
      <c r="AF245" s="22"/>
      <c r="AG245" s="22"/>
      <c r="AH245" s="22"/>
      <c r="AI245" s="22"/>
      <c r="AJ245" s="20" t="str">
        <f>(AJ242-AJ106)*100 &amp; "%"</f>
        <v>7.92999999999999%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21.43%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-33.33%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66.67%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197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0.30910000000000004</v>
      </c>
      <c r="V246" s="22"/>
      <c r="W246" s="22"/>
      <c r="X246" s="22"/>
      <c r="Y246" s="22"/>
      <c r="Z246" s="23">
        <f>Z243-Z166</f>
        <v>0.4667</v>
      </c>
      <c r="AA246" s="22"/>
      <c r="AB246" s="22"/>
      <c r="AC246" s="22"/>
      <c r="AD246" s="22"/>
      <c r="AE246" s="23">
        <f>AE243-AE166</f>
        <v>0.4</v>
      </c>
      <c r="AF246" s="22"/>
      <c r="AG246" s="22"/>
      <c r="AH246" s="22"/>
      <c r="AI246" s="22"/>
      <c r="AJ246" s="23">
        <f>AJ243-AJ166</f>
        <v>0.23340000000000005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-1.6699999999999993E-2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-0.2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0.13329999999999997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191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190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1</v>
      </c>
      <c r="X250" s="20">
        <v>0</v>
      </c>
      <c r="Y250" s="20">
        <v>1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192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2</v>
      </c>
      <c r="X251" s="20">
        <v>0</v>
      </c>
      <c r="Y251" s="20">
        <v>2</v>
      </c>
      <c r="Z251" s="20" t="str">
        <f t="shared" si="953"/>
        <v>0%</v>
      </c>
      <c r="AA251" s="22"/>
      <c r="AB251" s="20">
        <f t="shared" si="954"/>
        <v>1</v>
      </c>
      <c r="AC251" s="20">
        <v>1</v>
      </c>
      <c r="AD251" s="20">
        <v>0</v>
      </c>
      <c r="AE251" s="20" t="str">
        <f t="shared" si="955"/>
        <v>100%</v>
      </c>
      <c r="AF251" s="22"/>
      <c r="AG251" s="20">
        <f t="shared" si="956"/>
        <v>1</v>
      </c>
      <c r="AH251" s="20">
        <v>1</v>
      </c>
      <c r="AI251" s="20">
        <v>0</v>
      </c>
      <c r="AJ251" s="20" t="str">
        <f t="shared" si="957"/>
        <v>100%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193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3</v>
      </c>
      <c r="X252" s="20">
        <v>0</v>
      </c>
      <c r="Y252" s="20">
        <v>3</v>
      </c>
      <c r="Z252" s="20" t="str">
        <f t="shared" si="953"/>
        <v>0%</v>
      </c>
      <c r="AA252" s="22"/>
      <c r="AB252" s="20">
        <f t="shared" si="954"/>
        <v>1</v>
      </c>
      <c r="AC252" s="20">
        <v>1</v>
      </c>
      <c r="AD252" s="20">
        <v>0</v>
      </c>
      <c r="AE252" s="20" t="str">
        <f t="shared" si="955"/>
        <v>100%</v>
      </c>
      <c r="AF252" s="22"/>
      <c r="AG252" s="20">
        <f t="shared" si="956"/>
        <v>3</v>
      </c>
      <c r="AH252" s="20">
        <v>1</v>
      </c>
      <c r="AI252" s="20">
        <v>2</v>
      </c>
      <c r="AJ252" s="20" t="str">
        <f t="shared" si="957"/>
        <v>33.33%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189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3</v>
      </c>
      <c r="X253" s="20">
        <v>0</v>
      </c>
      <c r="Y253" s="20">
        <v>3</v>
      </c>
      <c r="Z253" s="20" t="str">
        <f t="shared" si="953"/>
        <v>0%</v>
      </c>
      <c r="AA253" s="22"/>
      <c r="AB253" s="20">
        <f t="shared" si="954"/>
        <v>3</v>
      </c>
      <c r="AC253" s="20">
        <v>0</v>
      </c>
      <c r="AD253" s="20">
        <v>3</v>
      </c>
      <c r="AE253" s="20" t="str">
        <f t="shared" si="955"/>
        <v>0%</v>
      </c>
      <c r="AF253" s="22"/>
      <c r="AG253" s="20">
        <f t="shared" si="956"/>
        <v>3</v>
      </c>
      <c r="AH253" s="20">
        <v>1</v>
      </c>
      <c r="AI253" s="20">
        <v>2</v>
      </c>
      <c r="AJ253" s="20" t="str">
        <f t="shared" si="957"/>
        <v>33.33%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196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9</v>
      </c>
      <c r="X254" s="20">
        <f>SUM(X253,X252,X251,X250,X249)</f>
        <v>0</v>
      </c>
      <c r="Y254" s="20">
        <f>SUM(Y253,Y252,Y251,Y250,Y249)</f>
        <v>9</v>
      </c>
      <c r="Z254" s="20" t="str">
        <f t="shared" si="953"/>
        <v>0%</v>
      </c>
      <c r="AA254" s="22"/>
      <c r="AB254" s="20">
        <f>SUM(AB253,AB252,AB251,AB250,AB249)</f>
        <v>5</v>
      </c>
      <c r="AC254" s="20">
        <f>SUM(AC253,AC252,AC251,AC250,AC249)</f>
        <v>2</v>
      </c>
      <c r="AD254" s="20">
        <f>SUM(AD253,AD252,AD251,AD250,AD249)</f>
        <v>3</v>
      </c>
      <c r="AE254" s="20" t="str">
        <f t="shared" si="955"/>
        <v>40%</v>
      </c>
      <c r="AF254" s="22"/>
      <c r="AG254" s="20">
        <f>SUM(AG253,AG252,AG251,AG250,AG249)</f>
        <v>9</v>
      </c>
      <c r="AH254" s="20">
        <f>SUM(AH253,AH252,AH251,AH250,AH249)</f>
        <v>3</v>
      </c>
      <c r="AI254" s="20">
        <f>SUM(AI253,AI252,AI251,AI250,AI249)</f>
        <v>6</v>
      </c>
      <c r="AJ254" s="20" t="str">
        <f t="shared" si="957"/>
        <v>33.33%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194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-50%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55.56%</v>
      </c>
      <c r="AF255" s="22"/>
      <c r="AG255" s="22"/>
      <c r="AH255" s="22"/>
      <c r="AI255" s="22"/>
      <c r="AJ255" s="20" t="str">
        <f>(AJ252-AJ165)*100 &amp; "%"</f>
        <v>-21.22%</v>
      </c>
      <c r="AK255" s="22"/>
      <c r="AL255" s="22"/>
      <c r="AM255" s="22"/>
      <c r="AN255" s="22"/>
      <c r="AO255" s="20" t="str">
        <f>(AO252-AO165)*100 &amp; "%"</f>
        <v>-40%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195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-29.17%</v>
      </c>
      <c r="V256" s="22"/>
      <c r="W256" s="22"/>
      <c r="X256" s="22"/>
      <c r="Y256" s="22"/>
      <c r="Z256" s="20" t="str">
        <f>(Z253-Z106)*100 &amp; "%"</f>
        <v>-61.9%</v>
      </c>
      <c r="AA256" s="22"/>
      <c r="AB256" s="22"/>
      <c r="AC256" s="22"/>
      <c r="AD256" s="22"/>
      <c r="AE256" s="20" t="str">
        <f>(AE253-AE106)*100 &amp; "%"</f>
        <v>-66.67%</v>
      </c>
      <c r="AF256" s="22"/>
      <c r="AG256" s="22"/>
      <c r="AH256" s="22"/>
      <c r="AI256" s="22"/>
      <c r="AJ256" s="20" t="str">
        <f>(AJ253-AJ106)*100 &amp; "%"</f>
        <v>-44.45%</v>
      </c>
      <c r="AK256" s="22"/>
      <c r="AL256" s="22"/>
      <c r="AM256" s="22"/>
      <c r="AN256" s="22"/>
      <c r="AO256" s="20" t="str">
        <f>(AO253-AO106)*100 &amp; "%"</f>
        <v>-38.89%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-33.33%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-33.33%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197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-0.2576</v>
      </c>
      <c r="V257" s="22"/>
      <c r="W257" s="22"/>
      <c r="X257" s="22"/>
      <c r="Y257" s="22"/>
      <c r="Z257" s="23">
        <f>Z254-Z166</f>
        <v>-0.5333</v>
      </c>
      <c r="AA257" s="22"/>
      <c r="AB257" s="22"/>
      <c r="AC257" s="22"/>
      <c r="AD257" s="22"/>
      <c r="AE257" s="23">
        <f>AE254-AE166</f>
        <v>-0.19999999999999996</v>
      </c>
      <c r="AF257" s="22"/>
      <c r="AG257" s="22"/>
      <c r="AH257" s="22"/>
      <c r="AI257" s="22"/>
      <c r="AJ257" s="23">
        <f>AJ254-AJ166</f>
        <v>-0.35639999999999999</v>
      </c>
      <c r="AK257" s="22"/>
      <c r="AL257" s="22"/>
      <c r="AM257" s="22"/>
      <c r="AN257" s="22"/>
      <c r="AO257" s="23">
        <f>AO254-AO166</f>
        <v>-0.46430000000000005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-0.2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-0.2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191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190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192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193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189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196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194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-50%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-44.44%</v>
      </c>
      <c r="AF266" s="22"/>
      <c r="AG266" s="22"/>
      <c r="AH266" s="22"/>
      <c r="AI266" s="22"/>
      <c r="AJ266" s="20" t="str">
        <f>(AJ263-AJ165)*100 &amp; "%"</f>
        <v>-54.55%</v>
      </c>
      <c r="AK266" s="22"/>
      <c r="AL266" s="22"/>
      <c r="AM266" s="22"/>
      <c r="AN266" s="22"/>
      <c r="AO266" s="20" t="str">
        <f>(AO263-AO165)*100 &amp; "%"</f>
        <v>-40%</v>
      </c>
      <c r="AP266" s="22"/>
      <c r="AQ266" s="22"/>
      <c r="AR266" s="22"/>
      <c r="AS266" s="22"/>
      <c r="AT266" s="20" t="str">
        <f>(AT263-AT165)*100 &amp; "%"</f>
        <v>-25%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195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-62.5%</v>
      </c>
      <c r="V267" s="22"/>
      <c r="W267" s="22"/>
      <c r="X267" s="22"/>
      <c r="Y267" s="22"/>
      <c r="Z267" s="20" t="str">
        <f>(Z264-Z106)*100 &amp; "%"</f>
        <v>38.1%</v>
      </c>
      <c r="AA267" s="22"/>
      <c r="AB267" s="22"/>
      <c r="AC267" s="22"/>
      <c r="AD267" s="22"/>
      <c r="AE267" s="20" t="str">
        <f>(AE264-AE106)*100 &amp; "%"</f>
        <v>-66.67%</v>
      </c>
      <c r="AF267" s="22"/>
      <c r="AG267" s="22"/>
      <c r="AH267" s="22"/>
      <c r="AI267" s="22"/>
      <c r="AJ267" s="20" t="str">
        <f>(AJ264-AJ106)*100 &amp; "%"</f>
        <v>22.22%</v>
      </c>
      <c r="AK267" s="22"/>
      <c r="AL267" s="22"/>
      <c r="AM267" s="22"/>
      <c r="AN267" s="22"/>
      <c r="AO267" s="20" t="str">
        <f>(AO264-AO106)*100 &amp; "%"</f>
        <v>11.11%</v>
      </c>
      <c r="AP267" s="22"/>
      <c r="AQ267" s="22"/>
      <c r="AR267" s="22"/>
      <c r="AS267" s="22"/>
      <c r="AT267" s="20" t="str">
        <f>(AT264-AT106)*100 &amp; "%"</f>
        <v>-28.57%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-33.33%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-33.33%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197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-0.59089999999999998</v>
      </c>
      <c r="V268" s="22"/>
      <c r="W268" s="22"/>
      <c r="X268" s="22"/>
      <c r="Y268" s="22"/>
      <c r="Z268" s="23">
        <f>Z265-Z166</f>
        <v>-0.2</v>
      </c>
      <c r="AA268" s="22"/>
      <c r="AB268" s="22"/>
      <c r="AC268" s="22"/>
      <c r="AD268" s="22"/>
      <c r="AE268" s="23">
        <f>AE265-AE166</f>
        <v>-0.6</v>
      </c>
      <c r="AF268" s="22"/>
      <c r="AG268" s="22"/>
      <c r="AH268" s="22"/>
      <c r="AI268" s="22"/>
      <c r="AJ268" s="23">
        <f>AJ265-AJ166</f>
        <v>0.31030000000000002</v>
      </c>
      <c r="AK268" s="22"/>
      <c r="AL268" s="22"/>
      <c r="AM268" s="22"/>
      <c r="AN268" s="22"/>
      <c r="AO268" s="23">
        <f>AO265-AO166</f>
        <v>0.28569999999999995</v>
      </c>
      <c r="AP268" s="22"/>
      <c r="AQ268" s="22"/>
      <c r="AR268" s="22"/>
      <c r="AS268" s="22"/>
      <c r="AT268" s="23">
        <f>AT265-AT166</f>
        <v>-0.26669999999999999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-0.2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-0.2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191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190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192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193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189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196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194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-50%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-44.44%</v>
      </c>
      <c r="AF277" s="22"/>
      <c r="AG277" s="22"/>
      <c r="AH277" s="22"/>
      <c r="AI277" s="22"/>
      <c r="AJ277" s="20" t="str">
        <f>(AJ274-AJ165)*100 &amp; "%"</f>
        <v>-54.55%</v>
      </c>
      <c r="AK277" s="22"/>
      <c r="AL277" s="22"/>
      <c r="AM277" s="22"/>
      <c r="AN277" s="22"/>
      <c r="AO277" s="20" t="str">
        <f>(AO274-AO165)*100 &amp; "%"</f>
        <v>-40%</v>
      </c>
      <c r="AP277" s="22"/>
      <c r="AQ277" s="22"/>
      <c r="AR277" s="22"/>
      <c r="AS277" s="22"/>
      <c r="AT277" s="20" t="str">
        <f>(AT274-AT165)*100 &amp; "%"</f>
        <v>-25%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195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-62.5%</v>
      </c>
      <c r="V278" s="22"/>
      <c r="W278" s="22"/>
      <c r="X278" s="22"/>
      <c r="Y278" s="22"/>
      <c r="Z278" s="20" t="str">
        <f>(Z275-Z106)*100 &amp; "%"</f>
        <v>-61.9%</v>
      </c>
      <c r="AA278" s="22"/>
      <c r="AB278" s="22"/>
      <c r="AC278" s="22"/>
      <c r="AD278" s="22"/>
      <c r="AE278" s="20" t="str">
        <f>(AE275-AE106)*100 &amp; "%"</f>
        <v>-66.67%</v>
      </c>
      <c r="AF278" s="22"/>
      <c r="AG278" s="22"/>
      <c r="AH278" s="22"/>
      <c r="AI278" s="22"/>
      <c r="AJ278" s="20" t="str">
        <f>(AJ275-AJ106)*100 &amp; "%"</f>
        <v>-77.78%</v>
      </c>
      <c r="AK278" s="22"/>
      <c r="AL278" s="22"/>
      <c r="AM278" s="22"/>
      <c r="AN278" s="22"/>
      <c r="AO278" s="20" t="str">
        <f>(AO275-AO106)*100 &amp; "%"</f>
        <v>-88.89%</v>
      </c>
      <c r="AP278" s="22"/>
      <c r="AQ278" s="22"/>
      <c r="AR278" s="22"/>
      <c r="AS278" s="22"/>
      <c r="AT278" s="20" t="str">
        <f>(AT275-AT106)*100 &amp; "%"</f>
        <v>-28.57%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-33.33%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-33.33%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197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-0.59089999999999998</v>
      </c>
      <c r="V279" s="22"/>
      <c r="W279" s="22"/>
      <c r="X279" s="22"/>
      <c r="Y279" s="22"/>
      <c r="Z279" s="23">
        <f>Z276-Z166</f>
        <v>-0.5333</v>
      </c>
      <c r="AA279" s="22"/>
      <c r="AB279" s="22"/>
      <c r="AC279" s="22"/>
      <c r="AD279" s="22"/>
      <c r="AE279" s="23">
        <f>AE276-AE166</f>
        <v>-0.6</v>
      </c>
      <c r="AF279" s="22"/>
      <c r="AG279" s="22"/>
      <c r="AH279" s="22"/>
      <c r="AI279" s="22"/>
      <c r="AJ279" s="23">
        <f>AJ276-AJ166</f>
        <v>-0.68969999999999998</v>
      </c>
      <c r="AK279" s="22"/>
      <c r="AL279" s="22"/>
      <c r="AM279" s="22"/>
      <c r="AN279" s="22"/>
      <c r="AO279" s="23">
        <f>AO276-AO166</f>
        <v>-0.71430000000000005</v>
      </c>
      <c r="AP279" s="22"/>
      <c r="AQ279" s="22"/>
      <c r="AR279" s="22"/>
      <c r="AS279" s="22"/>
      <c r="AT279" s="23">
        <f>AT276-AT166</f>
        <v>-0.26669999999999999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-0.2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-0.2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191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190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192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193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189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196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194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-50%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-44.44%</v>
      </c>
      <c r="AF288" s="22"/>
      <c r="AG288" s="22"/>
      <c r="AH288" s="22"/>
      <c r="AI288" s="22"/>
      <c r="AJ288" s="20" t="str">
        <f>(AJ285-AJ165)*100 &amp; "%"</f>
        <v>-54.55%</v>
      </c>
      <c r="AK288" s="22"/>
      <c r="AL288" s="22"/>
      <c r="AM288" s="22"/>
      <c r="AN288" s="22"/>
      <c r="AO288" s="20" t="str">
        <f>(AO285-AO165)*100 &amp; "%"</f>
        <v>-40%</v>
      </c>
      <c r="AP288" s="22"/>
      <c r="AQ288" s="22"/>
      <c r="AR288" s="22"/>
      <c r="AS288" s="22"/>
      <c r="AT288" s="20" t="str">
        <f>(AT285-AT165)*100 &amp; "%"</f>
        <v>-25%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195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-62.5%</v>
      </c>
      <c r="V289" s="22"/>
      <c r="W289" s="22"/>
      <c r="X289" s="22"/>
      <c r="Y289" s="22"/>
      <c r="Z289" s="20" t="str">
        <f>(Z286-Z106)*100 &amp; "%"</f>
        <v>38.1%</v>
      </c>
      <c r="AA289" s="22"/>
      <c r="AB289" s="22"/>
      <c r="AC289" s="22"/>
      <c r="AD289" s="22"/>
      <c r="AE289" s="20" t="str">
        <f>(AE286-AE106)*100 &amp; "%"</f>
        <v>33.33%</v>
      </c>
      <c r="AF289" s="22"/>
      <c r="AG289" s="22"/>
      <c r="AH289" s="22"/>
      <c r="AI289" s="22"/>
      <c r="AJ289" s="20" t="str">
        <f>(AJ286-AJ106)*100 &amp; "%"</f>
        <v>-77.78%</v>
      </c>
      <c r="AK289" s="22"/>
      <c r="AL289" s="22"/>
      <c r="AM289" s="22"/>
      <c r="AN289" s="22"/>
      <c r="AO289" s="20" t="str">
        <f>(AO286-AO106)*100 &amp; "%"</f>
        <v>-88.89%</v>
      </c>
      <c r="AP289" s="22"/>
      <c r="AQ289" s="22"/>
      <c r="AR289" s="22"/>
      <c r="AS289" s="22"/>
      <c r="AT289" s="20" t="str">
        <f>(AT286-AT106)*100 &amp; "%"</f>
        <v>-28.57%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-33.33%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-33.33%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197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-0.59089999999999998</v>
      </c>
      <c r="V290" s="22"/>
      <c r="W290" s="22"/>
      <c r="X290" s="22"/>
      <c r="Y290" s="22"/>
      <c r="Z290" s="23">
        <f>Z287-Z166</f>
        <v>0.4667</v>
      </c>
      <c r="AA290" s="22"/>
      <c r="AB290" s="22"/>
      <c r="AC290" s="22"/>
      <c r="AD290" s="22"/>
      <c r="AE290" s="23">
        <f>AE287-AE166</f>
        <v>0.4</v>
      </c>
      <c r="AF290" s="22"/>
      <c r="AG290" s="22"/>
      <c r="AH290" s="22"/>
      <c r="AI290" s="22"/>
      <c r="AJ290" s="23">
        <f>AJ287-AJ166</f>
        <v>-0.68969999999999998</v>
      </c>
      <c r="AK290" s="22"/>
      <c r="AL290" s="22"/>
      <c r="AM290" s="22"/>
      <c r="AN290" s="22"/>
      <c r="AO290" s="23">
        <f>AO287-AO166</f>
        <v>-0.71430000000000005</v>
      </c>
      <c r="AP290" s="22"/>
      <c r="AQ290" s="22"/>
      <c r="AR290" s="22"/>
      <c r="AS290" s="22"/>
      <c r="AT290" s="23">
        <f>AT287-AT166</f>
        <v>-0.26669999999999999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-0.2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-0.2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191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190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192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193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189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196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194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-50%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-44.44%</v>
      </c>
      <c r="AF299" s="22"/>
      <c r="AG299" s="22"/>
      <c r="AH299" s="22"/>
      <c r="AI299" s="22"/>
      <c r="AJ299" s="20" t="str">
        <f>(AJ296-AJ165)*100 &amp; "%"</f>
        <v>-54.55%</v>
      </c>
      <c r="AK299" s="22"/>
      <c r="AL299" s="22"/>
      <c r="AM299" s="22"/>
      <c r="AN299" s="22"/>
      <c r="AO299" s="20" t="str">
        <f>(AO296-AO165)*100 &amp; "%"</f>
        <v>-40%</v>
      </c>
      <c r="AP299" s="22"/>
      <c r="AQ299" s="22"/>
      <c r="AR299" s="22"/>
      <c r="AS299" s="22"/>
      <c r="AT299" s="20" t="str">
        <f>(AT296-AT165)*100 &amp; "%"</f>
        <v>-25%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195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-62.5%</v>
      </c>
      <c r="V300" s="22"/>
      <c r="W300" s="22"/>
      <c r="X300" s="22"/>
      <c r="Y300" s="22"/>
      <c r="Z300" s="20" t="str">
        <f>(Z297-Z106)*100 &amp; "%"</f>
        <v>-61.9%</v>
      </c>
      <c r="AA300" s="22"/>
      <c r="AB300" s="22"/>
      <c r="AC300" s="22"/>
      <c r="AD300" s="22"/>
      <c r="AE300" s="20" t="str">
        <f>(AE297-AE106)*100 &amp; "%"</f>
        <v>-66.67%</v>
      </c>
      <c r="AF300" s="22"/>
      <c r="AG300" s="22"/>
      <c r="AH300" s="22"/>
      <c r="AI300" s="22"/>
      <c r="AJ300" s="20" t="str">
        <f>(AJ297-AJ106)*100 &amp; "%"</f>
        <v>-77.78%</v>
      </c>
      <c r="AK300" s="22"/>
      <c r="AL300" s="22"/>
      <c r="AM300" s="22"/>
      <c r="AN300" s="22"/>
      <c r="AO300" s="20" t="str">
        <f>(AO297-AO106)*100 &amp; "%"</f>
        <v>-88.89%</v>
      </c>
      <c r="AP300" s="22"/>
      <c r="AQ300" s="22"/>
      <c r="AR300" s="22"/>
      <c r="AS300" s="22"/>
      <c r="AT300" s="20" t="str">
        <f>(AT297-AT106)*100 &amp; "%"</f>
        <v>-28.57%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-33.33%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-33.33%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197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-0.59089999999999998</v>
      </c>
      <c r="V301" s="22"/>
      <c r="W301" s="22"/>
      <c r="X301" s="22"/>
      <c r="Y301" s="22"/>
      <c r="Z301" s="23">
        <f>Z298-Z166</f>
        <v>-0.5333</v>
      </c>
      <c r="AA301" s="22"/>
      <c r="AB301" s="22"/>
      <c r="AC301" s="22"/>
      <c r="AD301" s="22"/>
      <c r="AE301" s="23">
        <f>AE298-AE166</f>
        <v>-0.6</v>
      </c>
      <c r="AF301" s="22"/>
      <c r="AG301" s="22"/>
      <c r="AH301" s="22"/>
      <c r="AI301" s="22"/>
      <c r="AJ301" s="23">
        <f>AJ298-AJ166</f>
        <v>-0.68969999999999998</v>
      </c>
      <c r="AK301" s="22"/>
      <c r="AL301" s="22"/>
      <c r="AM301" s="22"/>
      <c r="AN301" s="22"/>
      <c r="AO301" s="23">
        <f>AO298-AO166</f>
        <v>-0.71430000000000005</v>
      </c>
      <c r="AP301" s="22"/>
      <c r="AQ301" s="22"/>
      <c r="AR301" s="22"/>
      <c r="AS301" s="22"/>
      <c r="AT301" s="23">
        <f>AT298-AT166</f>
        <v>-0.26669999999999999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-0.2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-0.2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191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190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192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193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189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196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194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-50%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-44.44%</v>
      </c>
      <c r="AF310" s="22"/>
      <c r="AG310" s="22"/>
      <c r="AH310" s="22"/>
      <c r="AI310" s="22"/>
      <c r="AJ310" s="20" t="str">
        <f>(AJ307-AJ165)*100 &amp; "%"</f>
        <v>-54.55%</v>
      </c>
      <c r="AK310" s="22"/>
      <c r="AL310" s="22"/>
      <c r="AM310" s="22"/>
      <c r="AN310" s="22"/>
      <c r="AO310" s="20" t="str">
        <f>(AO307-AO165)*100 &amp; "%"</f>
        <v>-40%</v>
      </c>
      <c r="AP310" s="22"/>
      <c r="AQ310" s="22"/>
      <c r="AR310" s="22"/>
      <c r="AS310" s="22"/>
      <c r="AT310" s="20" t="str">
        <f>(AT307-AT165)*100 &amp; "%"</f>
        <v>-25%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195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-62.5%</v>
      </c>
      <c r="V311" s="22"/>
      <c r="W311" s="22"/>
      <c r="X311" s="22"/>
      <c r="Y311" s="22"/>
      <c r="Z311" s="20" t="str">
        <f>(Z308-Z106)*100 &amp; "%"</f>
        <v>-61.9%</v>
      </c>
      <c r="AA311" s="22"/>
      <c r="AB311" s="22"/>
      <c r="AC311" s="22"/>
      <c r="AD311" s="22"/>
      <c r="AE311" s="20" t="str">
        <f>(AE308-AE106)*100 &amp; "%"</f>
        <v>-66.67%</v>
      </c>
      <c r="AF311" s="22"/>
      <c r="AG311" s="22"/>
      <c r="AH311" s="22"/>
      <c r="AI311" s="22"/>
      <c r="AJ311" s="20" t="str">
        <f>(AJ308-AJ106)*100 &amp; "%"</f>
        <v>-77.78%</v>
      </c>
      <c r="AK311" s="22"/>
      <c r="AL311" s="22"/>
      <c r="AM311" s="22"/>
      <c r="AN311" s="22"/>
      <c r="AO311" s="20" t="str">
        <f>(AO308-AO106)*100 &amp; "%"</f>
        <v>-88.89%</v>
      </c>
      <c r="AP311" s="22"/>
      <c r="AQ311" s="22"/>
      <c r="AR311" s="22"/>
      <c r="AS311" s="22"/>
      <c r="AT311" s="20" t="str">
        <f>(AT308-AT106)*100 &amp; "%"</f>
        <v>-28.57%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-33.33%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-33.33%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197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-0.59089999999999998</v>
      </c>
      <c r="V312" s="22"/>
      <c r="W312" s="22"/>
      <c r="X312" s="22"/>
      <c r="Y312" s="22"/>
      <c r="Z312" s="23">
        <f>Z309-Z166</f>
        <v>-0.5333</v>
      </c>
      <c r="AA312" s="22"/>
      <c r="AB312" s="22"/>
      <c r="AC312" s="22"/>
      <c r="AD312" s="22"/>
      <c r="AE312" s="23">
        <f>AE309-AE166</f>
        <v>-0.6</v>
      </c>
      <c r="AF312" s="22"/>
      <c r="AG312" s="22"/>
      <c r="AH312" s="22"/>
      <c r="AI312" s="22"/>
      <c r="AJ312" s="23">
        <f>AJ309-AJ166</f>
        <v>-0.68969999999999998</v>
      </c>
      <c r="AK312" s="22"/>
      <c r="AL312" s="22"/>
      <c r="AM312" s="22"/>
      <c r="AN312" s="22"/>
      <c r="AO312" s="23">
        <f>AO309-AO166</f>
        <v>-0.71430000000000005</v>
      </c>
      <c r="AP312" s="22"/>
      <c r="AQ312" s="22"/>
      <c r="AR312" s="22"/>
      <c r="AS312" s="22"/>
      <c r="AT312" s="23">
        <f>AT309-AT166</f>
        <v>-0.26669999999999999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-0.2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-0.2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191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190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192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193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189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196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194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-50%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-44.44%</v>
      </c>
      <c r="AF321" s="22"/>
      <c r="AG321" s="22"/>
      <c r="AH321" s="22"/>
      <c r="AI321" s="22"/>
      <c r="AJ321" s="20" t="str">
        <f>(AJ318-AJ165)*100 &amp; "%"</f>
        <v>-54.55%</v>
      </c>
      <c r="AK321" s="22"/>
      <c r="AL321" s="22"/>
      <c r="AM321" s="22"/>
      <c r="AN321" s="22"/>
      <c r="AO321" s="20" t="str">
        <f>(AO318-AO165)*100 &amp; "%"</f>
        <v>-40%</v>
      </c>
      <c r="AP321" s="22"/>
      <c r="AQ321" s="22"/>
      <c r="AR321" s="22"/>
      <c r="AS321" s="22"/>
      <c r="AT321" s="20" t="str">
        <f>(AT318-AT165)*100 &amp; "%"</f>
        <v>-25%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195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-62.5%</v>
      </c>
      <c r="V322" s="22"/>
      <c r="W322" s="22"/>
      <c r="X322" s="22"/>
      <c r="Y322" s="22"/>
      <c r="Z322" s="20" t="str">
        <f>(Z319-Z106)*100 &amp; "%"</f>
        <v>-61.9%</v>
      </c>
      <c r="AA322" s="22"/>
      <c r="AB322" s="22"/>
      <c r="AC322" s="22"/>
      <c r="AD322" s="22"/>
      <c r="AE322" s="20" t="str">
        <f>(AE319-AE106)*100 &amp; "%"</f>
        <v>-66.67%</v>
      </c>
      <c r="AF322" s="22"/>
      <c r="AG322" s="22"/>
      <c r="AH322" s="22"/>
      <c r="AI322" s="22"/>
      <c r="AJ322" s="20" t="str">
        <f>(AJ319-AJ106)*100 &amp; "%"</f>
        <v>-77.78%</v>
      </c>
      <c r="AK322" s="22"/>
      <c r="AL322" s="22"/>
      <c r="AM322" s="22"/>
      <c r="AN322" s="22"/>
      <c r="AO322" s="20" t="str">
        <f>(AO319-AO106)*100 &amp; "%"</f>
        <v>-88.89%</v>
      </c>
      <c r="AP322" s="22"/>
      <c r="AQ322" s="22"/>
      <c r="AR322" s="22"/>
      <c r="AS322" s="22"/>
      <c r="AT322" s="20" t="str">
        <f>(AT319-AT106)*100 &amp; "%"</f>
        <v>-28.57%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-33.33%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-33.33%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197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-0.59089999999999998</v>
      </c>
      <c r="V323" s="22"/>
      <c r="W323" s="22"/>
      <c r="X323" s="22"/>
      <c r="Y323" s="22"/>
      <c r="Z323" s="23">
        <f>Z320-Z166</f>
        <v>-0.5333</v>
      </c>
      <c r="AA323" s="22"/>
      <c r="AB323" s="22"/>
      <c r="AC323" s="22"/>
      <c r="AD323" s="22"/>
      <c r="AE323" s="23">
        <f>AE320-AE166</f>
        <v>-0.6</v>
      </c>
      <c r="AF323" s="22"/>
      <c r="AG323" s="22"/>
      <c r="AH323" s="22"/>
      <c r="AI323" s="22"/>
      <c r="AJ323" s="23">
        <f>AJ320-AJ166</f>
        <v>-0.68969999999999998</v>
      </c>
      <c r="AK323" s="22"/>
      <c r="AL323" s="22"/>
      <c r="AM323" s="22"/>
      <c r="AN323" s="22"/>
      <c r="AO323" s="23">
        <f>AO320-AO166</f>
        <v>-0.71430000000000005</v>
      </c>
      <c r="AP323" s="22"/>
      <c r="AQ323" s="22"/>
      <c r="AR323" s="22"/>
      <c r="AS323" s="22"/>
      <c r="AT323" s="23">
        <f>AT320-AT166</f>
        <v>-0.26669999999999999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-0.2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-0.2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191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190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192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193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189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196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194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-50%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-44.44%</v>
      </c>
      <c r="AF332" s="22"/>
      <c r="AG332" s="22"/>
      <c r="AH332" s="22"/>
      <c r="AI332" s="22"/>
      <c r="AJ332" s="20" t="str">
        <f>(AJ329-AJ165)*100 &amp; "%"</f>
        <v>-54.55%</v>
      </c>
      <c r="AK332" s="22"/>
      <c r="AL332" s="22"/>
      <c r="AM332" s="22"/>
      <c r="AN332" s="22"/>
      <c r="AO332" s="20" t="str">
        <f>(AO329-AO165)*100 &amp; "%"</f>
        <v>-40%</v>
      </c>
      <c r="AP332" s="22"/>
      <c r="AQ332" s="22"/>
      <c r="AR332" s="22"/>
      <c r="AS332" s="22"/>
      <c r="AT332" s="20" t="str">
        <f>(AT329-AT165)*100 &amp; "%"</f>
        <v>-25%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195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-62.5%</v>
      </c>
      <c r="V333" s="22"/>
      <c r="W333" s="22"/>
      <c r="X333" s="22"/>
      <c r="Y333" s="22"/>
      <c r="Z333" s="20" t="str">
        <f>(Z330-Z106)*100 &amp; "%"</f>
        <v>-61.9%</v>
      </c>
      <c r="AA333" s="22"/>
      <c r="AB333" s="22"/>
      <c r="AC333" s="22"/>
      <c r="AD333" s="22"/>
      <c r="AE333" s="20" t="str">
        <f>(AE330-AE106)*100 &amp; "%"</f>
        <v>-66.67%</v>
      </c>
      <c r="AF333" s="22"/>
      <c r="AG333" s="22"/>
      <c r="AH333" s="22"/>
      <c r="AI333" s="22"/>
      <c r="AJ333" s="20" t="str">
        <f>(AJ330-AJ106)*100 &amp; "%"</f>
        <v>-77.78%</v>
      </c>
      <c r="AK333" s="22"/>
      <c r="AL333" s="22"/>
      <c r="AM333" s="22"/>
      <c r="AN333" s="22"/>
      <c r="AO333" s="20" t="str">
        <f>(AO330-AO106)*100 &amp; "%"</f>
        <v>-88.89%</v>
      </c>
      <c r="AP333" s="22"/>
      <c r="AQ333" s="22"/>
      <c r="AR333" s="22"/>
      <c r="AS333" s="22"/>
      <c r="AT333" s="20" t="str">
        <f>(AT330-AT106)*100 &amp; "%"</f>
        <v>-28.57%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-33.33%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-33.33%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197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-0.59089999999999998</v>
      </c>
      <c r="V334" s="22"/>
      <c r="W334" s="22"/>
      <c r="X334" s="22"/>
      <c r="Y334" s="22"/>
      <c r="Z334" s="23">
        <f>Z331-Z166</f>
        <v>-0.5333</v>
      </c>
      <c r="AA334" s="22"/>
      <c r="AB334" s="22"/>
      <c r="AC334" s="22"/>
      <c r="AD334" s="22"/>
      <c r="AE334" s="23">
        <f>AE331-AE166</f>
        <v>-0.6</v>
      </c>
      <c r="AF334" s="22"/>
      <c r="AG334" s="22"/>
      <c r="AH334" s="22"/>
      <c r="AI334" s="22"/>
      <c r="AJ334" s="23">
        <f>AJ331-AJ166</f>
        <v>-0.68969999999999998</v>
      </c>
      <c r="AK334" s="22"/>
      <c r="AL334" s="22"/>
      <c r="AM334" s="22"/>
      <c r="AN334" s="22"/>
      <c r="AO334" s="23">
        <f>AO331-AO166</f>
        <v>-0.71430000000000005</v>
      </c>
      <c r="AP334" s="22"/>
      <c r="AQ334" s="22"/>
      <c r="AR334" s="22"/>
      <c r="AS334" s="22"/>
      <c r="AT334" s="23">
        <f>AT331-AT166</f>
        <v>-0.26669999999999999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-0.2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-0.2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191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190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192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193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189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196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194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-50%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-44.44%</v>
      </c>
      <c r="AF343" s="22"/>
      <c r="AG343" s="22"/>
      <c r="AH343" s="22"/>
      <c r="AI343" s="22"/>
      <c r="AJ343" s="20" t="str">
        <f>(AJ340-AJ165)*100 &amp; "%"</f>
        <v>-54.55%</v>
      </c>
      <c r="AK343" s="22"/>
      <c r="AL343" s="22"/>
      <c r="AM343" s="22"/>
      <c r="AN343" s="22"/>
      <c r="AO343" s="20" t="str">
        <f>(AO340-AO165)*100 &amp; "%"</f>
        <v>-40%</v>
      </c>
      <c r="AP343" s="22"/>
      <c r="AQ343" s="22"/>
      <c r="AR343" s="22"/>
      <c r="AS343" s="22"/>
      <c r="AT343" s="20" t="str">
        <f>(AT340-AT165)*100 &amp; "%"</f>
        <v>-25%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195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-62.5%</v>
      </c>
      <c r="V344" s="22"/>
      <c r="W344" s="22"/>
      <c r="X344" s="22"/>
      <c r="Y344" s="22"/>
      <c r="Z344" s="20" t="str">
        <f>(Z341-Z106)*100 &amp; "%"</f>
        <v>-61.9%</v>
      </c>
      <c r="AA344" s="22"/>
      <c r="AB344" s="22"/>
      <c r="AC344" s="22"/>
      <c r="AD344" s="22"/>
      <c r="AE344" s="20" t="str">
        <f>(AE341-AE106)*100 &amp; "%"</f>
        <v>-66.67%</v>
      </c>
      <c r="AF344" s="22"/>
      <c r="AG344" s="22"/>
      <c r="AH344" s="22"/>
      <c r="AI344" s="22"/>
      <c r="AJ344" s="20" t="str">
        <f>(AJ341-AJ106)*100 &amp; "%"</f>
        <v>-77.78%</v>
      </c>
      <c r="AK344" s="22"/>
      <c r="AL344" s="22"/>
      <c r="AM344" s="22"/>
      <c r="AN344" s="22"/>
      <c r="AO344" s="20" t="str">
        <f>(AO341-AO106)*100 &amp; "%"</f>
        <v>-88.89%</v>
      </c>
      <c r="AP344" s="22"/>
      <c r="AQ344" s="22"/>
      <c r="AR344" s="22"/>
      <c r="AS344" s="22"/>
      <c r="AT344" s="20" t="str">
        <f>(AT341-AT106)*100 &amp; "%"</f>
        <v>-28.57%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-33.33%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-33.33%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197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-0.59089999999999998</v>
      </c>
      <c r="V345" s="22"/>
      <c r="W345" s="22"/>
      <c r="X345" s="22"/>
      <c r="Y345" s="22"/>
      <c r="Z345" s="23">
        <f>Z342-Z166</f>
        <v>-0.5333</v>
      </c>
      <c r="AA345" s="22"/>
      <c r="AB345" s="22"/>
      <c r="AC345" s="22"/>
      <c r="AD345" s="22"/>
      <c r="AE345" s="23">
        <f>AE342-AE166</f>
        <v>-0.6</v>
      </c>
      <c r="AF345" s="22"/>
      <c r="AG345" s="22"/>
      <c r="AH345" s="22"/>
      <c r="AI345" s="22"/>
      <c r="AJ345" s="23">
        <f>AJ342-AJ166</f>
        <v>-0.68969999999999998</v>
      </c>
      <c r="AK345" s="22"/>
      <c r="AL345" s="22"/>
      <c r="AM345" s="22"/>
      <c r="AN345" s="22"/>
      <c r="AO345" s="23">
        <f>AO342-AO166</f>
        <v>-0.71430000000000005</v>
      </c>
      <c r="AP345" s="22"/>
      <c r="AQ345" s="22"/>
      <c r="AR345" s="22"/>
      <c r="AS345" s="22"/>
      <c r="AT345" s="23">
        <f>AT342-AT166</f>
        <v>-0.26669999999999999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-0.2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-0.2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191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190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192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193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189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196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194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-50%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-44.44%</v>
      </c>
      <c r="AF354" s="22"/>
      <c r="AG354" s="22"/>
      <c r="AH354" s="22"/>
      <c r="AI354" s="22"/>
      <c r="AJ354" s="20" t="str">
        <f>(AJ351-AJ165)*100 &amp; "%"</f>
        <v>-54.55%</v>
      </c>
      <c r="AK354" s="22"/>
      <c r="AL354" s="22"/>
      <c r="AM354" s="22"/>
      <c r="AN354" s="22"/>
      <c r="AO354" s="20" t="str">
        <f>(AO351-AO165)*100 &amp; "%"</f>
        <v>-40%</v>
      </c>
      <c r="AP354" s="22"/>
      <c r="AQ354" s="22"/>
      <c r="AR354" s="22"/>
      <c r="AS354" s="22"/>
      <c r="AT354" s="20" t="str">
        <f>(AT351-AT165)*100 &amp; "%"</f>
        <v>-25%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195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-62.5%</v>
      </c>
      <c r="V355" s="22"/>
      <c r="W355" s="22"/>
      <c r="X355" s="22"/>
      <c r="Y355" s="22"/>
      <c r="Z355" s="20" t="str">
        <f>(Z352-Z106)*100 &amp; "%"</f>
        <v>-61.9%</v>
      </c>
      <c r="AA355" s="22"/>
      <c r="AB355" s="22"/>
      <c r="AC355" s="22"/>
      <c r="AD355" s="22"/>
      <c r="AE355" s="20" t="str">
        <f>(AE352-AE106)*100 &amp; "%"</f>
        <v>-66.67%</v>
      </c>
      <c r="AF355" s="22"/>
      <c r="AG355" s="22"/>
      <c r="AH355" s="22"/>
      <c r="AI355" s="22"/>
      <c r="AJ355" s="20" t="str">
        <f>(AJ352-AJ106)*100 &amp; "%"</f>
        <v>-77.78%</v>
      </c>
      <c r="AK355" s="22"/>
      <c r="AL355" s="22"/>
      <c r="AM355" s="22"/>
      <c r="AN355" s="22"/>
      <c r="AO355" s="20" t="str">
        <f>(AO352-AO106)*100 &amp; "%"</f>
        <v>-88.89%</v>
      </c>
      <c r="AP355" s="22"/>
      <c r="AQ355" s="22"/>
      <c r="AR355" s="22"/>
      <c r="AS355" s="22"/>
      <c r="AT355" s="20" t="str">
        <f>(AT352-AT106)*100 &amp; "%"</f>
        <v>-28.57%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-33.33%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-33.33%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197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-0.59089999999999998</v>
      </c>
      <c r="V356" s="22"/>
      <c r="W356" s="22"/>
      <c r="X356" s="22"/>
      <c r="Y356" s="22"/>
      <c r="Z356" s="23">
        <f>Z353-Z166</f>
        <v>-0.5333</v>
      </c>
      <c r="AA356" s="22"/>
      <c r="AB356" s="22"/>
      <c r="AC356" s="22"/>
      <c r="AD356" s="22"/>
      <c r="AE356" s="23">
        <f>AE353-AE166</f>
        <v>-0.6</v>
      </c>
      <c r="AF356" s="22"/>
      <c r="AG356" s="22"/>
      <c r="AH356" s="22"/>
      <c r="AI356" s="22"/>
      <c r="AJ356" s="23">
        <f>AJ353-AJ166</f>
        <v>-0.68969999999999998</v>
      </c>
      <c r="AK356" s="22"/>
      <c r="AL356" s="22"/>
      <c r="AM356" s="22"/>
      <c r="AN356" s="22"/>
      <c r="AO356" s="23">
        <f>AO353-AO166</f>
        <v>-0.71430000000000005</v>
      </c>
      <c r="AP356" s="22"/>
      <c r="AQ356" s="22"/>
      <c r="AR356" s="22"/>
      <c r="AS356" s="22"/>
      <c r="AT356" s="23">
        <f>AT353-AT166</f>
        <v>-0.26669999999999999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-0.2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-0.2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Josh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191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190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192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193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189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196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194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-50%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-44.44%</v>
      </c>
      <c r="AF365" s="22"/>
      <c r="AG365" s="22"/>
      <c r="AH365" s="22"/>
      <c r="AI365" s="22"/>
      <c r="AJ365" s="20" t="str">
        <f>(AJ362-AJ165)*100 &amp; "%"</f>
        <v>-54.55%</v>
      </c>
      <c r="AK365" s="22"/>
      <c r="AL365" s="22"/>
      <c r="AM365" s="22"/>
      <c r="AN365" s="22"/>
      <c r="AO365" s="20" t="str">
        <f>(AO362-AO165)*100 &amp; "%"</f>
        <v>-40%</v>
      </c>
      <c r="AP365" s="22"/>
      <c r="AQ365" s="22"/>
      <c r="AR365" s="22"/>
      <c r="AS365" s="22"/>
      <c r="AT365" s="20" t="str">
        <f>(AT362-AT165)*100 &amp; "%"</f>
        <v>-25%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195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-62.5%</v>
      </c>
      <c r="V366" s="22"/>
      <c r="W366" s="22"/>
      <c r="X366" s="22"/>
      <c r="Y366" s="22"/>
      <c r="Z366" s="20" t="str">
        <f>(Z363-Z106)*100 &amp; "%"</f>
        <v>-61.9%</v>
      </c>
      <c r="AA366" s="22"/>
      <c r="AB366" s="22"/>
      <c r="AC366" s="22"/>
      <c r="AD366" s="22"/>
      <c r="AE366" s="20" t="str">
        <f>(AE363-AE106)*100 &amp; "%"</f>
        <v>-66.67%</v>
      </c>
      <c r="AF366" s="22"/>
      <c r="AG366" s="22"/>
      <c r="AH366" s="22"/>
      <c r="AI366" s="22"/>
      <c r="AJ366" s="20" t="str">
        <f>(AJ363-AJ106)*100 &amp; "%"</f>
        <v>-77.78%</v>
      </c>
      <c r="AK366" s="22"/>
      <c r="AL366" s="22"/>
      <c r="AM366" s="22"/>
      <c r="AN366" s="22"/>
      <c r="AO366" s="20" t="str">
        <f>(AO363-AO106)*100 &amp; "%"</f>
        <v>-88.89%</v>
      </c>
      <c r="AP366" s="22"/>
      <c r="AQ366" s="22"/>
      <c r="AR366" s="22"/>
      <c r="AS366" s="22"/>
      <c r="AT366" s="20" t="str">
        <f>(AT363-AT106)*100 &amp; "%"</f>
        <v>-28.57%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-33.33%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-33.33%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197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-0.59089999999999998</v>
      </c>
      <c r="V367" s="22"/>
      <c r="W367" s="22"/>
      <c r="X367" s="22"/>
      <c r="Y367" s="22"/>
      <c r="Z367" s="23">
        <f>Z364-Z166</f>
        <v>-0.5333</v>
      </c>
      <c r="AA367" s="22"/>
      <c r="AB367" s="22"/>
      <c r="AC367" s="22"/>
      <c r="AD367" s="22"/>
      <c r="AE367" s="23">
        <f>AE364-AE166</f>
        <v>-0.6</v>
      </c>
      <c r="AF367" s="22"/>
      <c r="AG367" s="22"/>
      <c r="AH367" s="22"/>
      <c r="AI367" s="22"/>
      <c r="AJ367" s="23">
        <f>AJ364-AJ166</f>
        <v>-0.68969999999999998</v>
      </c>
      <c r="AK367" s="22"/>
      <c r="AL367" s="22"/>
      <c r="AM367" s="22"/>
      <c r="AN367" s="22"/>
      <c r="AO367" s="23">
        <f>AO364-AO166</f>
        <v>-0.71430000000000005</v>
      </c>
      <c r="AP367" s="22"/>
      <c r="AQ367" s="22"/>
      <c r="AR367" s="22"/>
      <c r="AS367" s="22"/>
      <c r="AT367" s="23">
        <f>AT364-AT166</f>
        <v>-0.26669999999999999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-0.2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-0.2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Lewis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191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190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192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193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189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196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194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-50%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-44.44%</v>
      </c>
      <c r="AF376" s="22"/>
      <c r="AG376" s="22"/>
      <c r="AH376" s="22"/>
      <c r="AI376" s="22"/>
      <c r="AJ376" s="20" t="str">
        <f>(AJ373-AJ165)*100 &amp; "%"</f>
        <v>-54.55%</v>
      </c>
      <c r="AK376" s="22"/>
      <c r="AL376" s="22"/>
      <c r="AM376" s="22"/>
      <c r="AN376" s="22"/>
      <c r="AO376" s="20" t="str">
        <f>(AO373-AO165)*100 &amp; "%"</f>
        <v>-40%</v>
      </c>
      <c r="AP376" s="22"/>
      <c r="AQ376" s="22"/>
      <c r="AR376" s="22"/>
      <c r="AS376" s="22"/>
      <c r="AT376" s="20" t="str">
        <f>(AT373-AT165)*100 &amp; "%"</f>
        <v>-25%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195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-62.5%</v>
      </c>
      <c r="V377" s="22"/>
      <c r="W377" s="22"/>
      <c r="X377" s="22"/>
      <c r="Y377" s="22"/>
      <c r="Z377" s="20" t="str">
        <f>(Z374-Z106)*100 &amp; "%"</f>
        <v>-61.9%</v>
      </c>
      <c r="AA377" s="22"/>
      <c r="AB377" s="22"/>
      <c r="AC377" s="22"/>
      <c r="AD377" s="22"/>
      <c r="AE377" s="20" t="str">
        <f>(AE374-AE106)*100 &amp; "%"</f>
        <v>-66.67%</v>
      </c>
      <c r="AF377" s="22"/>
      <c r="AG377" s="22"/>
      <c r="AH377" s="22"/>
      <c r="AI377" s="22"/>
      <c r="AJ377" s="20" t="str">
        <f>(AJ374-AJ106)*100 &amp; "%"</f>
        <v>-77.78%</v>
      </c>
      <c r="AK377" s="22"/>
      <c r="AL377" s="22"/>
      <c r="AM377" s="22"/>
      <c r="AN377" s="22"/>
      <c r="AO377" s="20" t="str">
        <f>(AO374-AO106)*100 &amp; "%"</f>
        <v>-88.89%</v>
      </c>
      <c r="AP377" s="22"/>
      <c r="AQ377" s="22"/>
      <c r="AR377" s="22"/>
      <c r="AS377" s="22"/>
      <c r="AT377" s="20" t="str">
        <f>(AT374-AT106)*100 &amp; "%"</f>
        <v>-28.57%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-33.33%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-33.33%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197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-0.59089999999999998</v>
      </c>
      <c r="V378" s="22"/>
      <c r="W378" s="22"/>
      <c r="X378" s="22"/>
      <c r="Y378" s="22"/>
      <c r="Z378" s="23">
        <f>Z375-Z166</f>
        <v>-0.5333</v>
      </c>
      <c r="AA378" s="22"/>
      <c r="AB378" s="22"/>
      <c r="AC378" s="22"/>
      <c r="AD378" s="22"/>
      <c r="AE378" s="23">
        <f>AE375-AE166</f>
        <v>-0.6</v>
      </c>
      <c r="AF378" s="22"/>
      <c r="AG378" s="22"/>
      <c r="AH378" s="22"/>
      <c r="AI378" s="22"/>
      <c r="AJ378" s="23">
        <f>AJ375-AJ166</f>
        <v>-0.68969999999999998</v>
      </c>
      <c r="AK378" s="22"/>
      <c r="AL378" s="22"/>
      <c r="AM378" s="22"/>
      <c r="AN378" s="22"/>
      <c r="AO378" s="23">
        <f>AO375-AO166</f>
        <v>-0.71430000000000005</v>
      </c>
      <c r="AP378" s="22"/>
      <c r="AQ378" s="22"/>
      <c r="AR378" s="22"/>
      <c r="AS378" s="22"/>
      <c r="AT378" s="23">
        <f>AT375-AT166</f>
        <v>-0.26669999999999999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-0.2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-0.2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191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190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192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193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189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196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194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-50%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-44.44%</v>
      </c>
      <c r="AF387" s="22"/>
      <c r="AG387" s="22"/>
      <c r="AH387" s="22"/>
      <c r="AI387" s="22"/>
      <c r="AJ387" s="20" t="str">
        <f>(AJ384-AJ165)*100 &amp; "%"</f>
        <v>-54.55%</v>
      </c>
      <c r="AK387" s="22"/>
      <c r="AL387" s="22"/>
      <c r="AM387" s="22"/>
      <c r="AN387" s="22"/>
      <c r="AO387" s="20" t="str">
        <f>(AO384-AO165)*100 &amp; "%"</f>
        <v>-40%</v>
      </c>
      <c r="AP387" s="22"/>
      <c r="AQ387" s="22"/>
      <c r="AR387" s="22"/>
      <c r="AS387" s="22"/>
      <c r="AT387" s="20" t="str">
        <f>(AT384-AT165)*100 &amp; "%"</f>
        <v>-25%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195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-62.5%</v>
      </c>
      <c r="V388" s="22"/>
      <c r="W388" s="22"/>
      <c r="X388" s="22"/>
      <c r="Y388" s="22"/>
      <c r="Z388" s="20" t="str">
        <f>(Z385-Z106)*100 &amp; "%"</f>
        <v>-61.9%</v>
      </c>
      <c r="AA388" s="22"/>
      <c r="AB388" s="22"/>
      <c r="AC388" s="22"/>
      <c r="AD388" s="22"/>
      <c r="AE388" s="20" t="str">
        <f>(AE385-AE106)*100 &amp; "%"</f>
        <v>-66.67%</v>
      </c>
      <c r="AF388" s="22"/>
      <c r="AG388" s="22"/>
      <c r="AH388" s="22"/>
      <c r="AI388" s="22"/>
      <c r="AJ388" s="20" t="str">
        <f>(AJ385-AJ106)*100 &amp; "%"</f>
        <v>-77.78%</v>
      </c>
      <c r="AK388" s="22"/>
      <c r="AL388" s="22"/>
      <c r="AM388" s="22"/>
      <c r="AN388" s="22"/>
      <c r="AO388" s="20" t="str">
        <f>(AO385-AO106)*100 &amp; "%"</f>
        <v>-88.89%</v>
      </c>
      <c r="AP388" s="22"/>
      <c r="AQ388" s="22"/>
      <c r="AR388" s="22"/>
      <c r="AS388" s="22"/>
      <c r="AT388" s="20" t="str">
        <f>(AT385-AT106)*100 &amp; "%"</f>
        <v>-28.57%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-33.33%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-33.33%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197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-0.59089999999999998</v>
      </c>
      <c r="V389" s="22"/>
      <c r="W389" s="22"/>
      <c r="X389" s="22"/>
      <c r="Y389" s="22"/>
      <c r="Z389" s="23">
        <f>Z386-Z166</f>
        <v>-0.5333</v>
      </c>
      <c r="AA389" s="22"/>
      <c r="AB389" s="22"/>
      <c r="AC389" s="22"/>
      <c r="AD389" s="22"/>
      <c r="AE389" s="23">
        <f>AE386-AE166</f>
        <v>-0.6</v>
      </c>
      <c r="AF389" s="22"/>
      <c r="AG389" s="22"/>
      <c r="AH389" s="22"/>
      <c r="AI389" s="22"/>
      <c r="AJ389" s="23">
        <f>AJ386-AJ166</f>
        <v>-0.68969999999999998</v>
      </c>
      <c r="AK389" s="22"/>
      <c r="AL389" s="22"/>
      <c r="AM389" s="22"/>
      <c r="AN389" s="22"/>
      <c r="AO389" s="23">
        <f>AO386-AO166</f>
        <v>-0.71430000000000005</v>
      </c>
      <c r="AP389" s="22"/>
      <c r="AQ389" s="22"/>
      <c r="AR389" s="22"/>
      <c r="AS389" s="22"/>
      <c r="AT389" s="23">
        <f>AT386-AT166</f>
        <v>-0.26669999999999999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-0.2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-0.2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191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190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192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193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189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196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194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-50%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-44.44%</v>
      </c>
      <c r="AF398" s="22"/>
      <c r="AG398" s="22"/>
      <c r="AH398" s="22"/>
      <c r="AI398" s="22"/>
      <c r="AJ398" s="20" t="str">
        <f>(AJ395-AJ165)*100 &amp; "%"</f>
        <v>-54.55%</v>
      </c>
      <c r="AK398" s="22"/>
      <c r="AL398" s="22"/>
      <c r="AM398" s="22"/>
      <c r="AN398" s="22"/>
      <c r="AO398" s="20" t="str">
        <f>(AO395-AO165)*100 &amp; "%"</f>
        <v>-40%</v>
      </c>
      <c r="AP398" s="22"/>
      <c r="AQ398" s="22"/>
      <c r="AR398" s="22"/>
      <c r="AS398" s="22"/>
      <c r="AT398" s="20" t="str">
        <f>(AT395-AT165)*100 &amp; "%"</f>
        <v>-25%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195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-62.5%</v>
      </c>
      <c r="V399" s="22"/>
      <c r="W399" s="22"/>
      <c r="X399" s="22"/>
      <c r="Y399" s="22"/>
      <c r="Z399" s="20" t="str">
        <f>(Z396-Z106)*100 &amp; "%"</f>
        <v>-61.9%</v>
      </c>
      <c r="AA399" s="22"/>
      <c r="AB399" s="22"/>
      <c r="AC399" s="22"/>
      <c r="AD399" s="22"/>
      <c r="AE399" s="20" t="str">
        <f>(AE396-AE106)*100 &amp; "%"</f>
        <v>-66.67%</v>
      </c>
      <c r="AF399" s="22"/>
      <c r="AG399" s="22"/>
      <c r="AH399" s="22"/>
      <c r="AI399" s="22"/>
      <c r="AJ399" s="20" t="str">
        <f>(AJ396-AJ106)*100 &amp; "%"</f>
        <v>-77.78%</v>
      </c>
      <c r="AK399" s="22"/>
      <c r="AL399" s="22"/>
      <c r="AM399" s="22"/>
      <c r="AN399" s="22"/>
      <c r="AO399" s="20" t="str">
        <f>(AO396-AO106)*100 &amp; "%"</f>
        <v>-88.89%</v>
      </c>
      <c r="AP399" s="22"/>
      <c r="AQ399" s="22"/>
      <c r="AR399" s="22"/>
      <c r="AS399" s="22"/>
      <c r="AT399" s="20" t="str">
        <f>(AT396-AT106)*100 &amp; "%"</f>
        <v>-28.57%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-33.33%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-33.33%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197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-0.59089999999999998</v>
      </c>
      <c r="V400" s="22"/>
      <c r="W400" s="22"/>
      <c r="X400" s="22"/>
      <c r="Y400" s="22"/>
      <c r="Z400" s="23">
        <f>Z397-Z166</f>
        <v>-0.5333</v>
      </c>
      <c r="AA400" s="22"/>
      <c r="AB400" s="22"/>
      <c r="AC400" s="22"/>
      <c r="AD400" s="22"/>
      <c r="AE400" s="23">
        <f>AE397-AE166</f>
        <v>-0.6</v>
      </c>
      <c r="AF400" s="22"/>
      <c r="AG400" s="22"/>
      <c r="AH400" s="22"/>
      <c r="AI400" s="22"/>
      <c r="AJ400" s="23">
        <f>AJ397-AJ166</f>
        <v>-0.68969999999999998</v>
      </c>
      <c r="AK400" s="22"/>
      <c r="AL400" s="22"/>
      <c r="AM400" s="22"/>
      <c r="AN400" s="22"/>
      <c r="AO400" s="23">
        <f>AO397-AO166</f>
        <v>-0.71430000000000005</v>
      </c>
      <c r="AP400" s="22"/>
      <c r="AQ400" s="22"/>
      <c r="AR400" s="22"/>
      <c r="AS400" s="22"/>
      <c r="AT400" s="23">
        <f>AT397-AT166</f>
        <v>-0.26669999999999999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-0.2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-0.2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191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190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192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193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189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196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194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-50%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-44.44%</v>
      </c>
      <c r="AF409" s="22"/>
      <c r="AG409" s="22"/>
      <c r="AH409" s="22"/>
      <c r="AI409" s="22"/>
      <c r="AJ409" s="20" t="str">
        <f>(AJ406-AJ165)*100 &amp; "%"</f>
        <v>-54.55%</v>
      </c>
      <c r="AK409" s="22"/>
      <c r="AL409" s="22"/>
      <c r="AM409" s="22"/>
      <c r="AN409" s="22"/>
      <c r="AO409" s="20" t="str">
        <f>(AO406-AO165)*100 &amp; "%"</f>
        <v>-40%</v>
      </c>
      <c r="AP409" s="22"/>
      <c r="AQ409" s="22"/>
      <c r="AR409" s="22"/>
      <c r="AS409" s="22"/>
      <c r="AT409" s="20" t="str">
        <f>(AT406-AT165)*100 &amp; "%"</f>
        <v>-25%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195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-62.5%</v>
      </c>
      <c r="V410" s="22"/>
      <c r="W410" s="22"/>
      <c r="X410" s="22"/>
      <c r="Y410" s="22"/>
      <c r="Z410" s="20" t="str">
        <f>(Z407-Z106)*100 &amp; "%"</f>
        <v>-28.57%</v>
      </c>
      <c r="AA410" s="22"/>
      <c r="AB410" s="22"/>
      <c r="AC410" s="22"/>
      <c r="AD410" s="22"/>
      <c r="AE410" s="20" t="str">
        <f>(AE407-AE106)*100 &amp; "%"</f>
        <v>-33.34%</v>
      </c>
      <c r="AF410" s="22"/>
      <c r="AG410" s="22"/>
      <c r="AH410" s="22"/>
      <c r="AI410" s="22"/>
      <c r="AJ410" s="20" t="str">
        <f>(AJ407-AJ106)*100 &amp; "%"</f>
        <v>-77.78%</v>
      </c>
      <c r="AK410" s="22"/>
      <c r="AL410" s="22"/>
      <c r="AM410" s="22"/>
      <c r="AN410" s="22"/>
      <c r="AO410" s="20" t="str">
        <f>(AO407-AO106)*100 &amp; "%"</f>
        <v>-88.89%</v>
      </c>
      <c r="AP410" s="22"/>
      <c r="AQ410" s="22"/>
      <c r="AR410" s="22"/>
      <c r="AS410" s="22"/>
      <c r="AT410" s="20" t="str">
        <f>(AT407-AT106)*100 &amp; "%"</f>
        <v>-28.57%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-33.33%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-33.33%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197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-0.59089999999999998</v>
      </c>
      <c r="V411" s="22"/>
      <c r="W411" s="22"/>
      <c r="X411" s="22"/>
      <c r="Y411" s="22"/>
      <c r="Z411" s="23">
        <f>Z408-Z166</f>
        <v>-0.2</v>
      </c>
      <c r="AA411" s="22"/>
      <c r="AB411" s="22"/>
      <c r="AC411" s="22"/>
      <c r="AD411" s="22"/>
      <c r="AE411" s="23">
        <f>AE408-AE166</f>
        <v>-0.26669999999999999</v>
      </c>
      <c r="AF411" s="22"/>
      <c r="AG411" s="22"/>
      <c r="AH411" s="22"/>
      <c r="AI411" s="22"/>
      <c r="AJ411" s="23">
        <f>AJ408-AJ166</f>
        <v>-0.68969999999999998</v>
      </c>
      <c r="AK411" s="22"/>
      <c r="AL411" s="22"/>
      <c r="AM411" s="22"/>
      <c r="AN411" s="22"/>
      <c r="AO411" s="23">
        <f>AO408-AO166</f>
        <v>-0.71430000000000005</v>
      </c>
      <c r="AP411" s="22"/>
      <c r="AQ411" s="22"/>
      <c r="AR411" s="22"/>
      <c r="AS411" s="22"/>
      <c r="AT411" s="23">
        <f>AT408-AT166</f>
        <v>-0.26669999999999999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-0.2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-0.2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191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190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192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193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189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196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194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50%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-44.44%</v>
      </c>
      <c r="AF420" s="22"/>
      <c r="AG420" s="22"/>
      <c r="AH420" s="22"/>
      <c r="AI420" s="22"/>
      <c r="AJ420" s="20" t="str">
        <f>(AJ417-AJ165)*100 &amp; "%"</f>
        <v>45.45%</v>
      </c>
      <c r="AK420" s="22"/>
      <c r="AL420" s="22"/>
      <c r="AM420" s="22"/>
      <c r="AN420" s="22"/>
      <c r="AO420" s="20" t="str">
        <f>(AO417-AO165)*100 &amp; "%"</f>
        <v>60%</v>
      </c>
      <c r="AP420" s="22"/>
      <c r="AQ420" s="22"/>
      <c r="AR420" s="22"/>
      <c r="AS420" s="22"/>
      <c r="AT420" s="20" t="str">
        <f>(AT417-AT165)*100 &amp; "%"</f>
        <v>-25%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195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4.17%</v>
      </c>
      <c r="V421" s="22"/>
      <c r="W421" s="22"/>
      <c r="X421" s="22"/>
      <c r="Y421" s="22"/>
      <c r="Z421" s="20" t="str">
        <f>(Z418-Z106)*100 &amp; "%"</f>
        <v>38.1%</v>
      </c>
      <c r="AA421" s="22"/>
      <c r="AB421" s="22"/>
      <c r="AC421" s="22"/>
      <c r="AD421" s="22"/>
      <c r="AE421" s="20" t="str">
        <f>(AE418-AE106)*100 &amp; "%"</f>
        <v>33.33%</v>
      </c>
      <c r="AF421" s="22"/>
      <c r="AG421" s="22"/>
      <c r="AH421" s="22"/>
      <c r="AI421" s="22"/>
      <c r="AJ421" s="20" t="str">
        <f>(AJ418-AJ106)*100 &amp; "%"</f>
        <v>-11.11%</v>
      </c>
      <c r="AK421" s="22"/>
      <c r="AL421" s="22"/>
      <c r="AM421" s="22"/>
      <c r="AN421" s="22"/>
      <c r="AO421" s="20" t="str">
        <f>(AO418-AO106)*100 &amp; "%"</f>
        <v>-38.89%</v>
      </c>
      <c r="AP421" s="22"/>
      <c r="AQ421" s="22"/>
      <c r="AR421" s="22"/>
      <c r="AS421" s="22"/>
      <c r="AT421" s="20" t="str">
        <f>(AT418-AT106)*100 &amp; "%"</f>
        <v>21.43%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-33.33%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-33.33%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197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0.20910000000000006</v>
      </c>
      <c r="V422" s="22"/>
      <c r="W422" s="22"/>
      <c r="X422" s="22"/>
      <c r="Y422" s="22"/>
      <c r="Z422" s="23">
        <f>Z419-Z166</f>
        <v>0.4667</v>
      </c>
      <c r="AA422" s="22"/>
      <c r="AB422" s="22"/>
      <c r="AC422" s="22"/>
      <c r="AD422" s="22"/>
      <c r="AE422" s="23">
        <f>AE419-AE166</f>
        <v>0.4</v>
      </c>
      <c r="AF422" s="22"/>
      <c r="AG422" s="22"/>
      <c r="AH422" s="22"/>
      <c r="AI422" s="22"/>
      <c r="AJ422" s="23">
        <f>AJ419-AJ166</f>
        <v>0.11030000000000006</v>
      </c>
      <c r="AK422" s="22"/>
      <c r="AL422" s="22"/>
      <c r="AM422" s="22"/>
      <c r="AN422" s="22"/>
      <c r="AO422" s="23">
        <f>AO419-AO166</f>
        <v>3.5699999999999954E-2</v>
      </c>
      <c r="AP422" s="22"/>
      <c r="AQ422" s="22"/>
      <c r="AR422" s="22"/>
      <c r="AS422" s="22"/>
      <c r="AT422" s="23">
        <f>AT419-AT166</f>
        <v>0.23330000000000001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-0.2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-0.2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191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190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192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193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189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196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194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-50%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-44.44%</v>
      </c>
      <c r="AF431" s="22"/>
      <c r="AG431" s="22"/>
      <c r="AH431" s="22"/>
      <c r="AI431" s="22"/>
      <c r="AJ431" s="20" t="str">
        <f>(AJ428-AJ165)*100 &amp; "%"</f>
        <v>-54.55%</v>
      </c>
      <c r="AK431" s="22"/>
      <c r="AL431" s="22"/>
      <c r="AM431" s="22"/>
      <c r="AN431" s="22"/>
      <c r="AO431" s="20" t="str">
        <f>(AO428-AO165)*100 &amp; "%"</f>
        <v>-40%</v>
      </c>
      <c r="AP431" s="22"/>
      <c r="AQ431" s="22"/>
      <c r="AR431" s="22"/>
      <c r="AS431" s="22"/>
      <c r="AT431" s="20" t="str">
        <f>(AT428-AT165)*100 &amp; "%"</f>
        <v>-25%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195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-62.5%</v>
      </c>
      <c r="V432" s="22"/>
      <c r="W432" s="22"/>
      <c r="X432" s="22"/>
      <c r="Y432" s="22"/>
      <c r="Z432" s="20" t="str">
        <f>(Z429-Z106)*100 &amp; "%"</f>
        <v>-61.9%</v>
      </c>
      <c r="AA432" s="22"/>
      <c r="AB432" s="22"/>
      <c r="AC432" s="22"/>
      <c r="AD432" s="22"/>
      <c r="AE432" s="20" t="str">
        <f>(AE429-AE106)*100 &amp; "%"</f>
        <v>-66.67%</v>
      </c>
      <c r="AF432" s="22"/>
      <c r="AG432" s="22"/>
      <c r="AH432" s="22"/>
      <c r="AI432" s="22"/>
      <c r="AJ432" s="20" t="str">
        <f>(AJ429-AJ106)*100 &amp; "%"</f>
        <v>-77.78%</v>
      </c>
      <c r="AK432" s="22"/>
      <c r="AL432" s="22"/>
      <c r="AM432" s="22"/>
      <c r="AN432" s="22"/>
      <c r="AO432" s="20" t="str">
        <f>(AO429-AO106)*100 &amp; "%"</f>
        <v>-88.89%</v>
      </c>
      <c r="AP432" s="22"/>
      <c r="AQ432" s="22"/>
      <c r="AR432" s="22"/>
      <c r="AS432" s="22"/>
      <c r="AT432" s="20" t="str">
        <f>(AT429-AT106)*100 &amp; "%"</f>
        <v>-28.57%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-33.33%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-33.33%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197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-0.59089999999999998</v>
      </c>
      <c r="V433" s="22"/>
      <c r="W433" s="22"/>
      <c r="X433" s="22"/>
      <c r="Y433" s="22"/>
      <c r="Z433" s="23">
        <f>Z430-Z166</f>
        <v>-0.5333</v>
      </c>
      <c r="AA433" s="22"/>
      <c r="AB433" s="22"/>
      <c r="AC433" s="22"/>
      <c r="AD433" s="22"/>
      <c r="AE433" s="23">
        <f>AE430-AE166</f>
        <v>-0.6</v>
      </c>
      <c r="AF433" s="22"/>
      <c r="AG433" s="22"/>
      <c r="AH433" s="22"/>
      <c r="AI433" s="22"/>
      <c r="AJ433" s="23">
        <f>AJ430-AJ166</f>
        <v>-0.68969999999999998</v>
      </c>
      <c r="AK433" s="22"/>
      <c r="AL433" s="22"/>
      <c r="AM433" s="22"/>
      <c r="AN433" s="22"/>
      <c r="AO433" s="23">
        <f>AO430-AO166</f>
        <v>-0.71430000000000005</v>
      </c>
      <c r="AP433" s="22"/>
      <c r="AQ433" s="22"/>
      <c r="AR433" s="22"/>
      <c r="AS433" s="22"/>
      <c r="AT433" s="23">
        <f>AT430-AT166</f>
        <v>-0.26669999999999999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-0.2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-0.2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191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190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192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193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189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196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194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-50%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-44.44%</v>
      </c>
      <c r="AF442" s="22"/>
      <c r="AG442" s="22"/>
      <c r="AH442" s="22"/>
      <c r="AI442" s="22"/>
      <c r="AJ442" s="20" t="str">
        <f>(AJ439-AJ165)*100 &amp; "%"</f>
        <v>-54.55%</v>
      </c>
      <c r="AK442" s="22"/>
      <c r="AL442" s="22"/>
      <c r="AM442" s="22"/>
      <c r="AN442" s="22"/>
      <c r="AO442" s="20" t="str">
        <f>(AO439-AO165)*100 &amp; "%"</f>
        <v>-40%</v>
      </c>
      <c r="AP442" s="22"/>
      <c r="AQ442" s="22"/>
      <c r="AR442" s="22"/>
      <c r="AS442" s="22"/>
      <c r="AT442" s="20" t="str">
        <f>(AT439-AT165)*100 &amp; "%"</f>
        <v>-25%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195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-62.5%</v>
      </c>
      <c r="V443" s="22"/>
      <c r="W443" s="22"/>
      <c r="X443" s="22"/>
      <c r="Y443" s="22"/>
      <c r="Z443" s="20" t="str">
        <f>(Z440-Z106)*100 &amp; "%"</f>
        <v>-61.9%</v>
      </c>
      <c r="AA443" s="22"/>
      <c r="AB443" s="22"/>
      <c r="AC443" s="22"/>
      <c r="AD443" s="22"/>
      <c r="AE443" s="20" t="str">
        <f>(AE440-AE106)*100 &amp; "%"</f>
        <v>-66.67%</v>
      </c>
      <c r="AF443" s="22"/>
      <c r="AG443" s="22"/>
      <c r="AH443" s="22"/>
      <c r="AI443" s="22"/>
      <c r="AJ443" s="20" t="str">
        <f>(AJ440-AJ106)*100 &amp; "%"</f>
        <v>-77.78%</v>
      </c>
      <c r="AK443" s="22"/>
      <c r="AL443" s="22"/>
      <c r="AM443" s="22"/>
      <c r="AN443" s="22"/>
      <c r="AO443" s="20" t="str">
        <f>(AO440-AO106)*100 &amp; "%"</f>
        <v>-88.89%</v>
      </c>
      <c r="AP443" s="22"/>
      <c r="AQ443" s="22"/>
      <c r="AR443" s="22"/>
      <c r="AS443" s="22"/>
      <c r="AT443" s="20" t="str">
        <f>(AT440-AT106)*100 &amp; "%"</f>
        <v>-28.57%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-33.33%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-33.33%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197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-0.59089999999999998</v>
      </c>
      <c r="V444" s="22"/>
      <c r="W444" s="22"/>
      <c r="X444" s="22"/>
      <c r="Y444" s="22"/>
      <c r="Z444" s="23">
        <f>Z441-Z166</f>
        <v>-0.5333</v>
      </c>
      <c r="AA444" s="22"/>
      <c r="AB444" s="22"/>
      <c r="AC444" s="22"/>
      <c r="AD444" s="22"/>
      <c r="AE444" s="23">
        <f>AE441-AE166</f>
        <v>-0.6</v>
      </c>
      <c r="AF444" s="22"/>
      <c r="AG444" s="22"/>
      <c r="AH444" s="22"/>
      <c r="AI444" s="22"/>
      <c r="AJ444" s="23">
        <f>AJ441-AJ166</f>
        <v>-0.68969999999999998</v>
      </c>
      <c r="AK444" s="22"/>
      <c r="AL444" s="22"/>
      <c r="AM444" s="22"/>
      <c r="AN444" s="22"/>
      <c r="AO444" s="23">
        <f>AO441-AO166</f>
        <v>-0.71430000000000005</v>
      </c>
      <c r="AP444" s="22"/>
      <c r="AQ444" s="22"/>
      <c r="AR444" s="22"/>
      <c r="AS444" s="22"/>
      <c r="AT444" s="23">
        <f>AT441-AT166</f>
        <v>-0.26669999999999999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-0.2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-0.2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191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190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192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193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189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196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194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-50%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-44.44%</v>
      </c>
      <c r="AF453" s="22"/>
      <c r="AG453" s="22"/>
      <c r="AH453" s="22"/>
      <c r="AI453" s="22"/>
      <c r="AJ453" s="20" t="str">
        <f>(AJ450-AJ165)*100 &amp; "%"</f>
        <v>-54.55%</v>
      </c>
      <c r="AK453" s="22"/>
      <c r="AL453" s="22"/>
      <c r="AM453" s="22"/>
      <c r="AN453" s="22"/>
      <c r="AO453" s="20" t="str">
        <f>(AO450-AO165)*100 &amp; "%"</f>
        <v>-40%</v>
      </c>
      <c r="AP453" s="22"/>
      <c r="AQ453" s="22"/>
      <c r="AR453" s="22"/>
      <c r="AS453" s="22"/>
      <c r="AT453" s="20" t="str">
        <f>(AT450-AT165)*100 &amp; "%"</f>
        <v>-25%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195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-62.5%</v>
      </c>
      <c r="V454" s="22"/>
      <c r="W454" s="22"/>
      <c r="X454" s="22"/>
      <c r="Y454" s="22"/>
      <c r="Z454" s="20" t="str">
        <f>(Z451-Z106)*100 &amp; "%"</f>
        <v>-61.9%</v>
      </c>
      <c r="AA454" s="22"/>
      <c r="AB454" s="22"/>
      <c r="AC454" s="22"/>
      <c r="AD454" s="22"/>
      <c r="AE454" s="20" t="str">
        <f>(AE451-AE106)*100 &amp; "%"</f>
        <v>-66.67%</v>
      </c>
      <c r="AF454" s="22"/>
      <c r="AG454" s="22"/>
      <c r="AH454" s="22"/>
      <c r="AI454" s="22"/>
      <c r="AJ454" s="20" t="str">
        <f>(AJ451-AJ106)*100 &amp; "%"</f>
        <v>-77.78%</v>
      </c>
      <c r="AK454" s="22"/>
      <c r="AL454" s="22"/>
      <c r="AM454" s="22"/>
      <c r="AN454" s="22"/>
      <c r="AO454" s="20" t="str">
        <f>(AO451-AO106)*100 &amp; "%"</f>
        <v>-88.89%</v>
      </c>
      <c r="AP454" s="22"/>
      <c r="AQ454" s="22"/>
      <c r="AR454" s="22"/>
      <c r="AS454" s="22"/>
      <c r="AT454" s="20" t="str">
        <f>(AT451-AT106)*100 &amp; "%"</f>
        <v>-28.57%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-33.33%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-33.33%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197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-0.59089999999999998</v>
      </c>
      <c r="V455" s="22"/>
      <c r="W455" s="22"/>
      <c r="X455" s="22"/>
      <c r="Y455" s="22"/>
      <c r="Z455" s="23">
        <f>Z452-Z166</f>
        <v>-0.5333</v>
      </c>
      <c r="AA455" s="22"/>
      <c r="AB455" s="22"/>
      <c r="AC455" s="22"/>
      <c r="AD455" s="22"/>
      <c r="AE455" s="23">
        <f>AE452-AE166</f>
        <v>-0.6</v>
      </c>
      <c r="AF455" s="22"/>
      <c r="AG455" s="22"/>
      <c r="AH455" s="22"/>
      <c r="AI455" s="22"/>
      <c r="AJ455" s="23">
        <f>AJ452-AJ166</f>
        <v>-0.68969999999999998</v>
      </c>
      <c r="AK455" s="22"/>
      <c r="AL455" s="22"/>
      <c r="AM455" s="22"/>
      <c r="AN455" s="22"/>
      <c r="AO455" s="23">
        <f>AO452-AO166</f>
        <v>-0.71430000000000005</v>
      </c>
      <c r="AP455" s="22"/>
      <c r="AQ455" s="22"/>
      <c r="AR455" s="22"/>
      <c r="AS455" s="22"/>
      <c r="AT455" s="23">
        <f>AT452-AT166</f>
        <v>-0.26669999999999999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-0.2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-0.2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191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190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192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193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189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196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194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-50%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-44.44%</v>
      </c>
      <c r="AF464" s="22"/>
      <c r="AG464" s="22"/>
      <c r="AH464" s="22"/>
      <c r="AI464" s="22"/>
      <c r="AJ464" s="20" t="str">
        <f>(AJ461-AJ165)*100 &amp; "%"</f>
        <v>-54.55%</v>
      </c>
      <c r="AK464" s="22"/>
      <c r="AL464" s="22"/>
      <c r="AM464" s="22"/>
      <c r="AN464" s="22"/>
      <c r="AO464" s="20" t="str">
        <f>(AO461-AO165)*100 &amp; "%"</f>
        <v>-40%</v>
      </c>
      <c r="AP464" s="22"/>
      <c r="AQ464" s="22"/>
      <c r="AR464" s="22"/>
      <c r="AS464" s="22"/>
      <c r="AT464" s="20" t="str">
        <f>(AT461-AT165)*100 &amp; "%"</f>
        <v>-25%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195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-62.5%</v>
      </c>
      <c r="V465" s="22"/>
      <c r="W465" s="22"/>
      <c r="X465" s="22"/>
      <c r="Y465" s="22"/>
      <c r="Z465" s="20" t="str">
        <f>(Z462-Z106)*100 &amp; "%"</f>
        <v>-61.9%</v>
      </c>
      <c r="AA465" s="22"/>
      <c r="AB465" s="22"/>
      <c r="AC465" s="22"/>
      <c r="AD465" s="22"/>
      <c r="AE465" s="20" t="str">
        <f>(AE462-AE106)*100 &amp; "%"</f>
        <v>-66.67%</v>
      </c>
      <c r="AF465" s="22"/>
      <c r="AG465" s="22"/>
      <c r="AH465" s="22"/>
      <c r="AI465" s="22"/>
      <c r="AJ465" s="20" t="str">
        <f>(AJ462-AJ106)*100 &amp; "%"</f>
        <v>-77.78%</v>
      </c>
      <c r="AK465" s="22"/>
      <c r="AL465" s="22"/>
      <c r="AM465" s="22"/>
      <c r="AN465" s="22"/>
      <c r="AO465" s="20" t="str">
        <f>(AO462-AO106)*100 &amp; "%"</f>
        <v>-88.89%</v>
      </c>
      <c r="AP465" s="22"/>
      <c r="AQ465" s="22"/>
      <c r="AR465" s="22"/>
      <c r="AS465" s="22"/>
      <c r="AT465" s="20" t="str">
        <f>(AT462-AT106)*100 &amp; "%"</f>
        <v>-28.57%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-33.33%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-33.33%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197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-0.59089999999999998</v>
      </c>
      <c r="V466" s="22"/>
      <c r="W466" s="22"/>
      <c r="X466" s="22"/>
      <c r="Y466" s="22"/>
      <c r="Z466" s="23">
        <f>Z463-Z166</f>
        <v>-0.5333</v>
      </c>
      <c r="AA466" s="22"/>
      <c r="AB466" s="22"/>
      <c r="AC466" s="22"/>
      <c r="AD466" s="22"/>
      <c r="AE466" s="23">
        <f>AE463-AE166</f>
        <v>-0.6</v>
      </c>
      <c r="AF466" s="22"/>
      <c r="AG466" s="22"/>
      <c r="AH466" s="22"/>
      <c r="AI466" s="22"/>
      <c r="AJ466" s="23">
        <f>AJ463-AJ166</f>
        <v>-0.68969999999999998</v>
      </c>
      <c r="AK466" s="22"/>
      <c r="AL466" s="22"/>
      <c r="AM466" s="22"/>
      <c r="AN466" s="22"/>
      <c r="AO466" s="23">
        <f>AO463-AO166</f>
        <v>-0.71430000000000005</v>
      </c>
      <c r="AP466" s="22"/>
      <c r="AQ466" s="22"/>
      <c r="AR466" s="22"/>
      <c r="AS466" s="22"/>
      <c r="AT466" s="23">
        <f>AT463-AT166</f>
        <v>-0.26669999999999999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-0.2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-0.2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191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190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192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193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189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196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194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-50%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-44.44%</v>
      </c>
      <c r="AF475" s="22"/>
      <c r="AG475" s="22"/>
      <c r="AH475" s="22"/>
      <c r="AI475" s="22"/>
      <c r="AJ475" s="20" t="str">
        <f>(AJ472-AJ165)*100 &amp; "%"</f>
        <v>-54.55%</v>
      </c>
      <c r="AK475" s="22"/>
      <c r="AL475" s="22"/>
      <c r="AM475" s="22"/>
      <c r="AN475" s="22"/>
      <c r="AO475" s="20" t="str">
        <f>(AO472-AO165)*100 &amp; "%"</f>
        <v>-40%</v>
      </c>
      <c r="AP475" s="22"/>
      <c r="AQ475" s="22"/>
      <c r="AR475" s="22"/>
      <c r="AS475" s="22"/>
      <c r="AT475" s="20" t="str">
        <f>(AT472-AT165)*100 &amp; "%"</f>
        <v>-25%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195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-62.5%</v>
      </c>
      <c r="V476" s="22"/>
      <c r="W476" s="22"/>
      <c r="X476" s="22"/>
      <c r="Y476" s="22"/>
      <c r="Z476" s="20" t="str">
        <f>(Z473-Z106)*100 &amp; "%"</f>
        <v>-61.9%</v>
      </c>
      <c r="AA476" s="22"/>
      <c r="AB476" s="22"/>
      <c r="AC476" s="22"/>
      <c r="AD476" s="22"/>
      <c r="AE476" s="20" t="str">
        <f>(AE473-AE106)*100 &amp; "%"</f>
        <v>-66.67%</v>
      </c>
      <c r="AF476" s="22"/>
      <c r="AG476" s="22"/>
      <c r="AH476" s="22"/>
      <c r="AI476" s="22"/>
      <c r="AJ476" s="20" t="str">
        <f>(AJ473-AJ106)*100 &amp; "%"</f>
        <v>-77.78%</v>
      </c>
      <c r="AK476" s="22"/>
      <c r="AL476" s="22"/>
      <c r="AM476" s="22"/>
      <c r="AN476" s="22"/>
      <c r="AO476" s="20" t="str">
        <f>(AO473-AO106)*100 &amp; "%"</f>
        <v>-88.89%</v>
      </c>
      <c r="AP476" s="22"/>
      <c r="AQ476" s="22"/>
      <c r="AR476" s="22"/>
      <c r="AS476" s="22"/>
      <c r="AT476" s="20" t="str">
        <f>(AT473-AT106)*100 &amp; "%"</f>
        <v>-28.57%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-33.33%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-33.33%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197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-0.59089999999999998</v>
      </c>
      <c r="V477" s="22"/>
      <c r="W477" s="22"/>
      <c r="X477" s="22"/>
      <c r="Y477" s="22"/>
      <c r="Z477" s="23">
        <f>Z474-Z166</f>
        <v>-0.5333</v>
      </c>
      <c r="AA477" s="22"/>
      <c r="AB477" s="22"/>
      <c r="AC477" s="22"/>
      <c r="AD477" s="22"/>
      <c r="AE477" s="23">
        <f>AE474-AE166</f>
        <v>-0.6</v>
      </c>
      <c r="AF477" s="22"/>
      <c r="AG477" s="22"/>
      <c r="AH477" s="22"/>
      <c r="AI477" s="22"/>
      <c r="AJ477" s="23">
        <f>AJ474-AJ166</f>
        <v>-0.68969999999999998</v>
      </c>
      <c r="AK477" s="22"/>
      <c r="AL477" s="22"/>
      <c r="AM477" s="22"/>
      <c r="AN477" s="22"/>
      <c r="AO477" s="23">
        <f>AO474-AO166</f>
        <v>-0.71430000000000005</v>
      </c>
      <c r="AP477" s="22"/>
      <c r="AQ477" s="22"/>
      <c r="AR477" s="22"/>
      <c r="AS477" s="22"/>
      <c r="AT477" s="23">
        <f>AT474-AT166</f>
        <v>-0.26669999999999999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-0.2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-0.2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191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190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192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193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189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196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194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-50%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55.56%</v>
      </c>
      <c r="AF486" s="22"/>
      <c r="AG486" s="22"/>
      <c r="AH486" s="22"/>
      <c r="AI486" s="22"/>
      <c r="AJ486" s="20" t="str">
        <f>(AJ483-AJ165)*100 &amp; "%"</f>
        <v>-54.55%</v>
      </c>
      <c r="AK486" s="22"/>
      <c r="AL486" s="22"/>
      <c r="AM486" s="22"/>
      <c r="AN486" s="22"/>
      <c r="AO486" s="20" t="str">
        <f>(AO483-AO165)*100 &amp; "%"</f>
        <v>-40%</v>
      </c>
      <c r="AP486" s="22"/>
      <c r="AQ486" s="22"/>
      <c r="AR486" s="22"/>
      <c r="AS486" s="22"/>
      <c r="AT486" s="20" t="str">
        <f>(AT483-AT165)*100 &amp; "%"</f>
        <v>-25%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195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4.17%</v>
      </c>
      <c r="V487" s="22"/>
      <c r="W487" s="22"/>
      <c r="X487" s="22"/>
      <c r="Y487" s="22"/>
      <c r="Z487" s="20" t="str">
        <f>(Z484-Z106)*100 &amp; "%"</f>
        <v>-11.9%</v>
      </c>
      <c r="AA487" s="22"/>
      <c r="AB487" s="22"/>
      <c r="AC487" s="22"/>
      <c r="AD487" s="22"/>
      <c r="AE487" s="20" t="str">
        <f>(AE484-AE106)*100 &amp; "%"</f>
        <v>-33.34%</v>
      </c>
      <c r="AF487" s="22"/>
      <c r="AG487" s="22"/>
      <c r="AH487" s="22"/>
      <c r="AI487" s="22"/>
      <c r="AJ487" s="20" t="str">
        <f>(AJ484-AJ106)*100 &amp; "%"</f>
        <v>22.22%</v>
      </c>
      <c r="AK487" s="22"/>
      <c r="AL487" s="22"/>
      <c r="AM487" s="22"/>
      <c r="AN487" s="22"/>
      <c r="AO487" s="20" t="str">
        <f>(AO484-AO106)*100 &amp; "%"</f>
        <v>11.11%</v>
      </c>
      <c r="AP487" s="22"/>
      <c r="AQ487" s="22"/>
      <c r="AR487" s="22"/>
      <c r="AS487" s="22"/>
      <c r="AT487" s="20" t="str">
        <f>(AT484-AT106)*100 &amp; "%"</f>
        <v>4.76%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-33.33%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-33.33%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197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7.5799999999999979E-2</v>
      </c>
      <c r="V488" s="22"/>
      <c r="W488" s="22"/>
      <c r="X488" s="22"/>
      <c r="Y488" s="22"/>
      <c r="Z488" s="23">
        <f>Z485-Z166</f>
        <v>0.2167</v>
      </c>
      <c r="AA488" s="22"/>
      <c r="AB488" s="22"/>
      <c r="AC488" s="22"/>
      <c r="AD488" s="22"/>
      <c r="AE488" s="23">
        <f>AE485-AE166</f>
        <v>0</v>
      </c>
      <c r="AF488" s="22"/>
      <c r="AG488" s="22"/>
      <c r="AH488" s="22"/>
      <c r="AI488" s="22"/>
      <c r="AJ488" s="23">
        <f>AJ485-AJ166</f>
        <v>0.31030000000000002</v>
      </c>
      <c r="AK488" s="22"/>
      <c r="AL488" s="22"/>
      <c r="AM488" s="22"/>
      <c r="AN488" s="22"/>
      <c r="AO488" s="23">
        <f>AO485-AO166</f>
        <v>0.28569999999999995</v>
      </c>
      <c r="AP488" s="22"/>
      <c r="AQ488" s="22"/>
      <c r="AR488" s="22"/>
      <c r="AS488" s="22"/>
      <c r="AT488" s="23">
        <f>AT485-AT166</f>
        <v>6.6599999999999993E-2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-0.2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-0.2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191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190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192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193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189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196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194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-50%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-44.44%</v>
      </c>
      <c r="AF497" s="22"/>
      <c r="AG497" s="22"/>
      <c r="AH497" s="22"/>
      <c r="AI497" s="22"/>
      <c r="AJ497" s="20" t="str">
        <f>(AJ494-AJ165)*100 &amp; "%"</f>
        <v>-54.55%</v>
      </c>
      <c r="AK497" s="22"/>
      <c r="AL497" s="22"/>
      <c r="AM497" s="22"/>
      <c r="AN497" s="22"/>
      <c r="AO497" s="20" t="str">
        <f>(AO494-AO165)*100 &amp; "%"</f>
        <v>-40%</v>
      </c>
      <c r="AP497" s="22"/>
      <c r="AQ497" s="22"/>
      <c r="AR497" s="22"/>
      <c r="AS497" s="22"/>
      <c r="AT497" s="20" t="str">
        <f>(AT494-AT165)*100 &amp; "%"</f>
        <v>-25%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195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37.5%</v>
      </c>
      <c r="V498" s="22"/>
      <c r="W498" s="22"/>
      <c r="X498" s="22"/>
      <c r="Y498" s="22"/>
      <c r="Z498" s="20" t="str">
        <f>(Z495-Z106)*100 &amp; "%"</f>
        <v>38.1%</v>
      </c>
      <c r="AA498" s="22"/>
      <c r="AB498" s="22"/>
      <c r="AC498" s="22"/>
      <c r="AD498" s="22"/>
      <c r="AE498" s="20" t="str">
        <f>(AE495-AE106)*100 &amp; "%"</f>
        <v>33.33%</v>
      </c>
      <c r="AF498" s="22"/>
      <c r="AG498" s="22"/>
      <c r="AH498" s="22"/>
      <c r="AI498" s="22"/>
      <c r="AJ498" s="20" t="str">
        <f>(AJ495-AJ106)*100 &amp; "%"</f>
        <v>22.22%</v>
      </c>
      <c r="AK498" s="22"/>
      <c r="AL498" s="22"/>
      <c r="AM498" s="22"/>
      <c r="AN498" s="22"/>
      <c r="AO498" s="20" t="str">
        <f>(AO495-AO106)*100 &amp; "%"</f>
        <v>11.11%</v>
      </c>
      <c r="AP498" s="22"/>
      <c r="AQ498" s="22"/>
      <c r="AR498" s="22"/>
      <c r="AS498" s="22"/>
      <c r="AT498" s="20" t="str">
        <f>(AT495-AT106)*100 &amp; "%"</f>
        <v>-28.57%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-33.33%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-33.33%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197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0.40910000000000002</v>
      </c>
      <c r="V499" s="22"/>
      <c r="W499" s="22"/>
      <c r="X499" s="22"/>
      <c r="Y499" s="22"/>
      <c r="Z499" s="23">
        <f>Z496-Z166</f>
        <v>0.4667</v>
      </c>
      <c r="AA499" s="22"/>
      <c r="AB499" s="22"/>
      <c r="AC499" s="22"/>
      <c r="AD499" s="22"/>
      <c r="AE499" s="23">
        <f>AE496-AE166</f>
        <v>0.4</v>
      </c>
      <c r="AF499" s="22"/>
      <c r="AG499" s="22"/>
      <c r="AH499" s="22"/>
      <c r="AI499" s="22"/>
      <c r="AJ499" s="23">
        <f>AJ496-AJ166</f>
        <v>0.31030000000000002</v>
      </c>
      <c r="AK499" s="22"/>
      <c r="AL499" s="22"/>
      <c r="AM499" s="22"/>
      <c r="AN499" s="22"/>
      <c r="AO499" s="23">
        <f>AO496-AO166</f>
        <v>0.28569999999999995</v>
      </c>
      <c r="AP499" s="22"/>
      <c r="AQ499" s="22"/>
      <c r="AR499" s="22"/>
      <c r="AS499" s="22"/>
      <c r="AT499" s="23">
        <f>AT496-AT166</f>
        <v>-0.26669999999999999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-0.2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-0.2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191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190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192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1</v>
      </c>
      <c r="AH504" s="20">
        <v>0</v>
      </c>
      <c r="AI504" s="20">
        <v>1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1</v>
      </c>
      <c r="FR504" s="20">
        <v>0</v>
      </c>
      <c r="FS504" s="20">
        <v>1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193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1</v>
      </c>
      <c r="AH505" s="20">
        <v>0</v>
      </c>
      <c r="AI505" s="20">
        <v>1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1</v>
      </c>
      <c r="FR505" s="20">
        <v>0</v>
      </c>
      <c r="FS505" s="20">
        <v>1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189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2</v>
      </c>
      <c r="X506" s="20">
        <v>1</v>
      </c>
      <c r="Y506" s="20">
        <v>1</v>
      </c>
      <c r="Z506" s="20" t="str">
        <f t="shared" si="2563"/>
        <v>50%</v>
      </c>
      <c r="AA506" s="22"/>
      <c r="AB506" s="20">
        <f t="shared" si="2564"/>
        <v>2</v>
      </c>
      <c r="AC506" s="20">
        <v>1</v>
      </c>
      <c r="AD506" s="20">
        <v>1</v>
      </c>
      <c r="AE506" s="20" t="str">
        <f t="shared" si="2565"/>
        <v>50%</v>
      </c>
      <c r="AF506" s="22"/>
      <c r="AG506" s="20">
        <f t="shared" si="2566"/>
        <v>1</v>
      </c>
      <c r="AH506" s="20">
        <v>0</v>
      </c>
      <c r="AI506" s="20">
        <v>1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2</v>
      </c>
      <c r="FR506" s="20">
        <v>0</v>
      </c>
      <c r="FS506" s="20">
        <v>2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196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2</v>
      </c>
      <c r="X507" s="20">
        <f>SUM(X506,X505,X504,X503,X502)</f>
        <v>1</v>
      </c>
      <c r="Y507" s="20">
        <f>SUM(Y506,Y505,Y504,Y503,Y502)</f>
        <v>1</v>
      </c>
      <c r="Z507" s="20" t="str">
        <f t="shared" si="2563"/>
        <v>50%</v>
      </c>
      <c r="AA507" s="22"/>
      <c r="AB507" s="20">
        <f>SUM(AB506,AB505,AB504,AB503,AB502)</f>
        <v>2</v>
      </c>
      <c r="AC507" s="20">
        <f>SUM(AC506,AC505,AC504,AC503,AC502)</f>
        <v>1</v>
      </c>
      <c r="AD507" s="20">
        <f>SUM(AD506,AD505,AD504,AD503,AD502)</f>
        <v>1</v>
      </c>
      <c r="AE507" s="20" t="str">
        <f t="shared" si="2565"/>
        <v>50%</v>
      </c>
      <c r="AF507" s="22"/>
      <c r="AG507" s="20">
        <f>SUM(AG506,AG505,AG504,AG503,AG502)</f>
        <v>3</v>
      </c>
      <c r="AH507" s="20">
        <f>SUM(AH506,AH505,AH504,AH503,AH502)</f>
        <v>0</v>
      </c>
      <c r="AI507" s="20">
        <f>SUM(AI506,AI505,AI504,AI503,AI502)</f>
        <v>3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4</v>
      </c>
      <c r="FR507" s="20">
        <f>SUM(FR506,FR505,FR504,FR503,FR502)</f>
        <v>0</v>
      </c>
      <c r="FS507" s="20">
        <f>SUM(FS506,FS505,FS504,FS503,FS502)</f>
        <v>4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194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-50%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-44.44%</v>
      </c>
      <c r="AF508" s="22"/>
      <c r="AG508" s="22"/>
      <c r="AH508" s="22"/>
      <c r="AI508" s="22"/>
      <c r="AJ508" s="20" t="str">
        <f>(AJ505-AJ165)*100 &amp; "%"</f>
        <v>-54.55%</v>
      </c>
      <c r="AK508" s="22"/>
      <c r="AL508" s="22"/>
      <c r="AM508" s="22"/>
      <c r="AN508" s="22"/>
      <c r="AO508" s="20" t="str">
        <f>(AO505-AO165)*100 &amp; "%"</f>
        <v>-40%</v>
      </c>
      <c r="AP508" s="22"/>
      <c r="AQ508" s="22"/>
      <c r="AR508" s="22"/>
      <c r="AS508" s="22"/>
      <c r="AT508" s="20" t="str">
        <f>(AT505-AT165)*100 &amp; "%"</f>
        <v>-25%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195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-62.5%</v>
      </c>
      <c r="V509" s="22"/>
      <c r="W509" s="22"/>
      <c r="X509" s="22"/>
      <c r="Y509" s="22"/>
      <c r="Z509" s="20" t="str">
        <f>(Z506-Z106)*100 &amp; "%"</f>
        <v>-11.9%</v>
      </c>
      <c r="AA509" s="22"/>
      <c r="AB509" s="22"/>
      <c r="AC509" s="22"/>
      <c r="AD509" s="22"/>
      <c r="AE509" s="20" t="str">
        <f>(AE506-AE106)*100 &amp; "%"</f>
        <v>-16.67%</v>
      </c>
      <c r="AF509" s="22"/>
      <c r="AG509" s="22"/>
      <c r="AH509" s="22"/>
      <c r="AI509" s="22"/>
      <c r="AJ509" s="20" t="str">
        <f>(AJ506-AJ106)*100 &amp; "%"</f>
        <v>-77.78%</v>
      </c>
      <c r="AK509" s="22"/>
      <c r="AL509" s="22"/>
      <c r="AM509" s="22"/>
      <c r="AN509" s="22"/>
      <c r="AO509" s="20" t="str">
        <f>(AO506-AO106)*100 &amp; "%"</f>
        <v>-88.89%</v>
      </c>
      <c r="AP509" s="22"/>
      <c r="AQ509" s="22"/>
      <c r="AR509" s="22"/>
      <c r="AS509" s="22"/>
      <c r="AT509" s="20" t="str">
        <f>(AT506-AT106)*100 &amp; "%"</f>
        <v>-28.57%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-33.33%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197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-0.59089999999999998</v>
      </c>
      <c r="V510" s="22"/>
      <c r="W510" s="22"/>
      <c r="X510" s="22"/>
      <c r="Y510" s="22"/>
      <c r="Z510" s="23">
        <f>Z507-Z166</f>
        <v>-3.3299999999999996E-2</v>
      </c>
      <c r="AA510" s="22"/>
      <c r="AB510" s="22"/>
      <c r="AC510" s="22"/>
      <c r="AD510" s="22"/>
      <c r="AE510" s="23">
        <f>AE507-AE166</f>
        <v>-9.9999999999999978E-2</v>
      </c>
      <c r="AF510" s="22"/>
      <c r="AG510" s="22"/>
      <c r="AH510" s="22"/>
      <c r="AI510" s="22"/>
      <c r="AJ510" s="23">
        <f>AJ507-AJ166</f>
        <v>-0.68969999999999998</v>
      </c>
      <c r="AK510" s="22"/>
      <c r="AL510" s="22"/>
      <c r="AM510" s="22"/>
      <c r="AN510" s="22"/>
      <c r="AO510" s="23">
        <f>AO507-AO166</f>
        <v>-0.71430000000000005</v>
      </c>
      <c r="AP510" s="22"/>
      <c r="AQ510" s="22"/>
      <c r="AR510" s="22"/>
      <c r="AS510" s="22"/>
      <c r="AT510" s="23">
        <f>AT507-AT166</f>
        <v>-0.26669999999999999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-0.2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191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190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192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193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189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196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194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-50%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-44.44%</v>
      </c>
      <c r="AF519" s="22"/>
      <c r="AG519" s="22"/>
      <c r="AH519" s="22"/>
      <c r="AI519" s="22"/>
      <c r="AJ519" s="20" t="str">
        <f>(AJ516-AJ165)*100 &amp; "%"</f>
        <v>-54.55%</v>
      </c>
      <c r="AK519" s="22"/>
      <c r="AL519" s="22"/>
      <c r="AM519" s="22"/>
      <c r="AN519" s="22"/>
      <c r="AO519" s="20" t="str">
        <f>(AO516-AO165)*100 &amp; "%"</f>
        <v>-40%</v>
      </c>
      <c r="AP519" s="22"/>
      <c r="AQ519" s="22"/>
      <c r="AR519" s="22"/>
      <c r="AS519" s="22"/>
      <c r="AT519" s="20" t="str">
        <f>(AT516-AT165)*100 &amp; "%"</f>
        <v>-25%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195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-62.5%</v>
      </c>
      <c r="V520" s="22"/>
      <c r="W520" s="22"/>
      <c r="X520" s="22"/>
      <c r="Y520" s="22"/>
      <c r="Z520" s="20" t="str">
        <f>(Z517-Z106)*100 &amp; "%"</f>
        <v>-61.9%</v>
      </c>
      <c r="AA520" s="22"/>
      <c r="AB520" s="22"/>
      <c r="AC520" s="22"/>
      <c r="AD520" s="22"/>
      <c r="AE520" s="20" t="str">
        <f>(AE517-AE106)*100 &amp; "%"</f>
        <v>-66.67%</v>
      </c>
      <c r="AF520" s="22"/>
      <c r="AG520" s="22"/>
      <c r="AH520" s="22"/>
      <c r="AI520" s="22"/>
      <c r="AJ520" s="20" t="str">
        <f>(AJ517-AJ106)*100 &amp; "%"</f>
        <v>-77.78%</v>
      </c>
      <c r="AK520" s="22"/>
      <c r="AL520" s="22"/>
      <c r="AM520" s="22"/>
      <c r="AN520" s="22"/>
      <c r="AO520" s="20" t="str">
        <f>(AO517-AO106)*100 &amp; "%"</f>
        <v>-88.89%</v>
      </c>
      <c r="AP520" s="22"/>
      <c r="AQ520" s="22"/>
      <c r="AR520" s="22"/>
      <c r="AS520" s="22"/>
      <c r="AT520" s="20" t="str">
        <f>(AT517-AT106)*100 &amp; "%"</f>
        <v>-28.57%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-33.33%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-33.33%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197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-0.59089999999999998</v>
      </c>
      <c r="V521" s="22"/>
      <c r="W521" s="22"/>
      <c r="X521" s="22"/>
      <c r="Y521" s="22"/>
      <c r="Z521" s="23">
        <f>Z518-Z166</f>
        <v>-0.5333</v>
      </c>
      <c r="AA521" s="22"/>
      <c r="AB521" s="22"/>
      <c r="AC521" s="22"/>
      <c r="AD521" s="22"/>
      <c r="AE521" s="23">
        <f>AE518-AE166</f>
        <v>-0.6</v>
      </c>
      <c r="AF521" s="22"/>
      <c r="AG521" s="22"/>
      <c r="AH521" s="22"/>
      <c r="AI521" s="22"/>
      <c r="AJ521" s="23">
        <f>AJ518-AJ166</f>
        <v>-0.68969999999999998</v>
      </c>
      <c r="AK521" s="22"/>
      <c r="AL521" s="22"/>
      <c r="AM521" s="22"/>
      <c r="AN521" s="22"/>
      <c r="AO521" s="23">
        <f>AO518-AO166</f>
        <v>-0.71430000000000005</v>
      </c>
      <c r="AP521" s="22"/>
      <c r="AQ521" s="22"/>
      <c r="AR521" s="22"/>
      <c r="AS521" s="22"/>
      <c r="AT521" s="23">
        <f>AT518-AT166</f>
        <v>-0.26669999999999999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-0.2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-0.2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191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190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192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193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189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196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194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-50%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-44.44%</v>
      </c>
      <c r="AF530" s="22"/>
      <c r="AG530" s="22"/>
      <c r="AH530" s="22"/>
      <c r="AI530" s="22"/>
      <c r="AJ530" s="20" t="str">
        <f>(AJ527-AJ165)*100 &amp; "%"</f>
        <v>-54.55%</v>
      </c>
      <c r="AK530" s="22"/>
      <c r="AL530" s="22"/>
      <c r="AM530" s="22"/>
      <c r="AN530" s="22"/>
      <c r="AO530" s="20" t="str">
        <f>(AO527-AO165)*100 &amp; "%"</f>
        <v>-40%</v>
      </c>
      <c r="AP530" s="22"/>
      <c r="AQ530" s="22"/>
      <c r="AR530" s="22"/>
      <c r="AS530" s="22"/>
      <c r="AT530" s="20" t="str">
        <f>(AT527-AT165)*100 &amp; "%"</f>
        <v>-25%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195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-62.5%</v>
      </c>
      <c r="V531" s="22"/>
      <c r="W531" s="22"/>
      <c r="X531" s="22"/>
      <c r="Y531" s="22"/>
      <c r="Z531" s="20" t="str">
        <f>(Z528-Z106)*100 &amp; "%"</f>
        <v>-61.9%</v>
      </c>
      <c r="AA531" s="22"/>
      <c r="AB531" s="22"/>
      <c r="AC531" s="22"/>
      <c r="AD531" s="22"/>
      <c r="AE531" s="20" t="str">
        <f>(AE528-AE106)*100 &amp; "%"</f>
        <v>-66.67%</v>
      </c>
      <c r="AF531" s="22"/>
      <c r="AG531" s="22"/>
      <c r="AH531" s="22"/>
      <c r="AI531" s="22"/>
      <c r="AJ531" s="20" t="str">
        <f>(AJ528-AJ106)*100 &amp; "%"</f>
        <v>-77.78%</v>
      </c>
      <c r="AK531" s="22"/>
      <c r="AL531" s="22"/>
      <c r="AM531" s="22"/>
      <c r="AN531" s="22"/>
      <c r="AO531" s="20" t="str">
        <f>(AO528-AO106)*100 &amp; "%"</f>
        <v>-88.89%</v>
      </c>
      <c r="AP531" s="22"/>
      <c r="AQ531" s="22"/>
      <c r="AR531" s="22"/>
      <c r="AS531" s="22"/>
      <c r="AT531" s="20" t="str">
        <f>(AT528-AT106)*100 &amp; "%"</f>
        <v>-28.57%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-33.33%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-33.33%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197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-0.59089999999999998</v>
      </c>
      <c r="V532" s="22"/>
      <c r="W532" s="22"/>
      <c r="X532" s="22"/>
      <c r="Y532" s="22"/>
      <c r="Z532" s="23">
        <f>Z529-Z166</f>
        <v>-0.5333</v>
      </c>
      <c r="AA532" s="22"/>
      <c r="AB532" s="22"/>
      <c r="AC532" s="22"/>
      <c r="AD532" s="22"/>
      <c r="AE532" s="23">
        <f>AE529-AE166</f>
        <v>-0.6</v>
      </c>
      <c r="AF532" s="22"/>
      <c r="AG532" s="22"/>
      <c r="AH532" s="22"/>
      <c r="AI532" s="22"/>
      <c r="AJ532" s="23">
        <f>AJ529-AJ166</f>
        <v>-0.68969999999999998</v>
      </c>
      <c r="AK532" s="22"/>
      <c r="AL532" s="22"/>
      <c r="AM532" s="22"/>
      <c r="AN532" s="22"/>
      <c r="AO532" s="23">
        <f>AO529-AO166</f>
        <v>-0.71430000000000005</v>
      </c>
      <c r="AP532" s="22"/>
      <c r="AQ532" s="22"/>
      <c r="AR532" s="22"/>
      <c r="AS532" s="22"/>
      <c r="AT532" s="23">
        <f>AT529-AT166</f>
        <v>-0.26669999999999999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-0.2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-0.2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191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190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1</v>
      </c>
      <c r="FC536" s="20">
        <v>0</v>
      </c>
      <c r="FD536" s="20">
        <v>1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192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1</v>
      </c>
      <c r="AM537" s="20">
        <v>0</v>
      </c>
      <c r="AN537" s="20">
        <v>1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193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1</v>
      </c>
      <c r="AM538" s="20">
        <v>0</v>
      </c>
      <c r="AN538" s="20">
        <v>1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1</v>
      </c>
      <c r="FC538" s="20">
        <v>0</v>
      </c>
      <c r="FD538" s="20">
        <v>1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189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2</v>
      </c>
      <c r="X539" s="20">
        <v>1</v>
      </c>
      <c r="Y539" s="20">
        <v>1</v>
      </c>
      <c r="Z539" s="20" t="str">
        <f t="shared" si="2773"/>
        <v>50%</v>
      </c>
      <c r="AA539" s="22"/>
      <c r="AB539" s="20">
        <f t="shared" si="2774"/>
        <v>2</v>
      </c>
      <c r="AC539" s="20">
        <v>1</v>
      </c>
      <c r="AD539" s="20">
        <v>1</v>
      </c>
      <c r="AE539" s="20" t="str">
        <f t="shared" si="2775"/>
        <v>50%</v>
      </c>
      <c r="AF539" s="22"/>
      <c r="AG539" s="20">
        <f t="shared" si="2776"/>
        <v>1</v>
      </c>
      <c r="AH539" s="20">
        <v>0</v>
      </c>
      <c r="AI539" s="20">
        <v>1</v>
      </c>
      <c r="AJ539" s="20" t="str">
        <f t="shared" si="2777"/>
        <v>0%</v>
      </c>
      <c r="AK539" s="22"/>
      <c r="AL539" s="20">
        <f t="shared" si="2778"/>
        <v>1</v>
      </c>
      <c r="AM539" s="20">
        <v>1</v>
      </c>
      <c r="AN539" s="20">
        <v>0</v>
      </c>
      <c r="AO539" s="20" t="str">
        <f t="shared" si="2779"/>
        <v>100%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2</v>
      </c>
      <c r="FC539" s="20">
        <v>0</v>
      </c>
      <c r="FD539" s="20">
        <v>2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196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2</v>
      </c>
      <c r="X540" s="20">
        <f>SUM(X539,X538,X537,X536,X535)</f>
        <v>1</v>
      </c>
      <c r="Y540" s="20">
        <f>SUM(Y539,Y538,Y537,Y536,Y535)</f>
        <v>1</v>
      </c>
      <c r="Z540" s="20" t="str">
        <f t="shared" si="2773"/>
        <v>50%</v>
      </c>
      <c r="AA540" s="22"/>
      <c r="AB540" s="20">
        <f>SUM(AB539,AB538,AB537,AB536,AB535)</f>
        <v>2</v>
      </c>
      <c r="AC540" s="20">
        <f>SUM(AC539,AC538,AC537,AC536,AC535)</f>
        <v>1</v>
      </c>
      <c r="AD540" s="20">
        <f>SUM(AD539,AD538,AD537,AD536,AD535)</f>
        <v>1</v>
      </c>
      <c r="AE540" s="20" t="str">
        <f t="shared" si="2775"/>
        <v>50%</v>
      </c>
      <c r="AF540" s="22"/>
      <c r="AG540" s="20">
        <f>SUM(AG539,AG538,AG537,AG536,AG535)</f>
        <v>1</v>
      </c>
      <c r="AH540" s="20">
        <f>SUM(AH539,AH538,AH537,AH536,AH535)</f>
        <v>0</v>
      </c>
      <c r="AI540" s="20">
        <f>SUM(AI539,AI538,AI537,AI536,AI535)</f>
        <v>1</v>
      </c>
      <c r="AJ540" s="20" t="str">
        <f t="shared" si="2777"/>
        <v>0%</v>
      </c>
      <c r="AK540" s="22"/>
      <c r="AL540" s="20">
        <f>SUM(AL539,AL538,AL537,AL536,AL535)</f>
        <v>3</v>
      </c>
      <c r="AM540" s="20">
        <f>SUM(AM539,AM538,AM537,AM536,AM535)</f>
        <v>1</v>
      </c>
      <c r="AN540" s="20">
        <f>SUM(AN539,AN538,AN537,AN536,AN535)</f>
        <v>2</v>
      </c>
      <c r="AO540" s="20" t="str">
        <f t="shared" si="2779"/>
        <v>33.33%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4</v>
      </c>
      <c r="FC540" s="20">
        <f>SUM(FC539,FC538,FC537,FC536,FC535)</f>
        <v>0</v>
      </c>
      <c r="FD540" s="20">
        <f>SUM(FD539,FD538,FD537,FD536,FD535)</f>
        <v>4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194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-50%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-44.44%</v>
      </c>
      <c r="AF541" s="22"/>
      <c r="AG541" s="22"/>
      <c r="AH541" s="22"/>
      <c r="AI541" s="22"/>
      <c r="AJ541" s="20" t="str">
        <f>(AJ538-AJ165)*100 &amp; "%"</f>
        <v>-54.55%</v>
      </c>
      <c r="AK541" s="22"/>
      <c r="AL541" s="22"/>
      <c r="AM541" s="22"/>
      <c r="AN541" s="22"/>
      <c r="AO541" s="20" t="str">
        <f>(AO538-AO165)*100 &amp; "%"</f>
        <v>-40%</v>
      </c>
      <c r="AP541" s="22"/>
      <c r="AQ541" s="22"/>
      <c r="AR541" s="22"/>
      <c r="AS541" s="22"/>
      <c r="AT541" s="20" t="str">
        <f>(AT538-AT165)*100 &amp; "%"</f>
        <v>-25%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195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-62.5%</v>
      </c>
      <c r="V542" s="22"/>
      <c r="W542" s="22"/>
      <c r="X542" s="22"/>
      <c r="Y542" s="22"/>
      <c r="Z542" s="20" t="str">
        <f>(Z539-Z106)*100 &amp; "%"</f>
        <v>-11.9%</v>
      </c>
      <c r="AA542" s="22"/>
      <c r="AB542" s="22"/>
      <c r="AC542" s="22"/>
      <c r="AD542" s="22"/>
      <c r="AE542" s="20" t="str">
        <f>(AE539-AE106)*100 &amp; "%"</f>
        <v>-16.67%</v>
      </c>
      <c r="AF542" s="22"/>
      <c r="AG542" s="22"/>
      <c r="AH542" s="22"/>
      <c r="AI542" s="22"/>
      <c r="AJ542" s="20" t="str">
        <f>(AJ539-AJ106)*100 &amp; "%"</f>
        <v>-77.78%</v>
      </c>
      <c r="AK542" s="22"/>
      <c r="AL542" s="22"/>
      <c r="AM542" s="22"/>
      <c r="AN542" s="22"/>
      <c r="AO542" s="20" t="str">
        <f>(AO539-AO106)*100 &amp; "%"</f>
        <v>11.11%</v>
      </c>
      <c r="AP542" s="22"/>
      <c r="AQ542" s="22"/>
      <c r="AR542" s="22"/>
      <c r="AS542" s="22"/>
      <c r="AT542" s="20" t="str">
        <f>(AT539-AT106)*100 &amp; "%"</f>
        <v>-28.57%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-33.33%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197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-0.59089999999999998</v>
      </c>
      <c r="V543" s="22"/>
      <c r="W543" s="22"/>
      <c r="X543" s="22"/>
      <c r="Y543" s="22"/>
      <c r="Z543" s="23">
        <f>Z540-Z166</f>
        <v>-3.3299999999999996E-2</v>
      </c>
      <c r="AA543" s="22"/>
      <c r="AB543" s="22"/>
      <c r="AC543" s="22"/>
      <c r="AD543" s="22"/>
      <c r="AE543" s="23">
        <f>AE540-AE166</f>
        <v>-9.9999999999999978E-2</v>
      </c>
      <c r="AF543" s="22"/>
      <c r="AG543" s="22"/>
      <c r="AH543" s="22"/>
      <c r="AI543" s="22"/>
      <c r="AJ543" s="23">
        <f>AJ540-AJ166</f>
        <v>-0.68969999999999998</v>
      </c>
      <c r="AK543" s="22"/>
      <c r="AL543" s="22"/>
      <c r="AM543" s="22"/>
      <c r="AN543" s="22"/>
      <c r="AO543" s="23">
        <f>AO540-AO166</f>
        <v>-0.38100000000000006</v>
      </c>
      <c r="AP543" s="22"/>
      <c r="AQ543" s="22"/>
      <c r="AR543" s="22"/>
      <c r="AS543" s="22"/>
      <c r="AT543" s="23">
        <f>AT540-AT166</f>
        <v>-0.26669999999999999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-0.2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191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190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192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193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189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196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194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-50%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-44.44%</v>
      </c>
      <c r="AF552" s="22"/>
      <c r="AG552" s="22"/>
      <c r="AH552" s="22"/>
      <c r="AI552" s="22"/>
      <c r="AJ552" s="20" t="str">
        <f>(AJ549-AJ165)*100 &amp; "%"</f>
        <v>-54.55%</v>
      </c>
      <c r="AK552" s="22"/>
      <c r="AL552" s="22"/>
      <c r="AM552" s="22"/>
      <c r="AN552" s="22"/>
      <c r="AO552" s="20" t="str">
        <f>(AO549-AO165)*100 &amp; "%"</f>
        <v>-40%</v>
      </c>
      <c r="AP552" s="22"/>
      <c r="AQ552" s="22"/>
      <c r="AR552" s="22"/>
      <c r="AS552" s="22"/>
      <c r="AT552" s="20" t="str">
        <f>(AT549-AT165)*100 &amp; "%"</f>
        <v>-25%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195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-62.5%</v>
      </c>
      <c r="V553" s="22"/>
      <c r="W553" s="22"/>
      <c r="X553" s="22"/>
      <c r="Y553" s="22"/>
      <c r="Z553" s="20" t="str">
        <f>(Z550-Z106)*100 &amp; "%"</f>
        <v>-61.9%</v>
      </c>
      <c r="AA553" s="22"/>
      <c r="AB553" s="22"/>
      <c r="AC553" s="22"/>
      <c r="AD553" s="22"/>
      <c r="AE553" s="20" t="str">
        <f>(AE550-AE106)*100 &amp; "%"</f>
        <v>-66.67%</v>
      </c>
      <c r="AF553" s="22"/>
      <c r="AG553" s="22"/>
      <c r="AH553" s="22"/>
      <c r="AI553" s="22"/>
      <c r="AJ553" s="20" t="str">
        <f>(AJ550-AJ106)*100 &amp; "%"</f>
        <v>-77.78%</v>
      </c>
      <c r="AK553" s="22"/>
      <c r="AL553" s="22"/>
      <c r="AM553" s="22"/>
      <c r="AN553" s="22"/>
      <c r="AO553" s="20" t="str">
        <f>(AO550-AO106)*100 &amp; "%"</f>
        <v>-88.89%</v>
      </c>
      <c r="AP553" s="22"/>
      <c r="AQ553" s="22"/>
      <c r="AR553" s="22"/>
      <c r="AS553" s="22"/>
      <c r="AT553" s="20" t="str">
        <f>(AT550-AT106)*100 &amp; "%"</f>
        <v>-28.57%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-33.33%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-33.33%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197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-0.59089999999999998</v>
      </c>
      <c r="V554" s="22"/>
      <c r="W554" s="22"/>
      <c r="X554" s="22"/>
      <c r="Y554" s="22"/>
      <c r="Z554" s="23">
        <f>Z551-Z166</f>
        <v>-0.5333</v>
      </c>
      <c r="AA554" s="22"/>
      <c r="AB554" s="22"/>
      <c r="AC554" s="22"/>
      <c r="AD554" s="22"/>
      <c r="AE554" s="23">
        <f>AE551-AE166</f>
        <v>-0.6</v>
      </c>
      <c r="AF554" s="22"/>
      <c r="AG554" s="22"/>
      <c r="AH554" s="22"/>
      <c r="AI554" s="22"/>
      <c r="AJ554" s="23">
        <f>AJ551-AJ166</f>
        <v>-0.68969999999999998</v>
      </c>
      <c r="AK554" s="22"/>
      <c r="AL554" s="22"/>
      <c r="AM554" s="22"/>
      <c r="AN554" s="22"/>
      <c r="AO554" s="23">
        <f>AO551-AO166</f>
        <v>-0.71430000000000005</v>
      </c>
      <c r="AP554" s="22"/>
      <c r="AQ554" s="22"/>
      <c r="AR554" s="22"/>
      <c r="AS554" s="22"/>
      <c r="AT554" s="23">
        <f>AT551-AT166</f>
        <v>-0.26669999999999999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-0.2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-0.2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191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190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192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193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189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196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194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-50%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-44.44%</v>
      </c>
      <c r="AF563" s="22"/>
      <c r="AG563" s="22"/>
      <c r="AH563" s="22"/>
      <c r="AI563" s="22"/>
      <c r="AJ563" s="20" t="str">
        <f>(AJ560-AJ165)*100 &amp; "%"</f>
        <v>-54.55%</v>
      </c>
      <c r="AK563" s="22"/>
      <c r="AL563" s="22"/>
      <c r="AM563" s="22"/>
      <c r="AN563" s="22"/>
      <c r="AO563" s="20" t="str">
        <f>(AO560-AO165)*100 &amp; "%"</f>
        <v>-40%</v>
      </c>
      <c r="AP563" s="22"/>
      <c r="AQ563" s="22"/>
      <c r="AR563" s="22"/>
      <c r="AS563" s="22"/>
      <c r="AT563" s="20" t="str">
        <f>(AT560-AT165)*100 &amp; "%"</f>
        <v>-25%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195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-62.5%</v>
      </c>
      <c r="V564" s="22"/>
      <c r="W564" s="22"/>
      <c r="X564" s="22"/>
      <c r="Y564" s="22"/>
      <c r="Z564" s="20" t="str">
        <f>(Z561-Z106)*100 &amp; "%"</f>
        <v>-61.9%</v>
      </c>
      <c r="AA564" s="22"/>
      <c r="AB564" s="22"/>
      <c r="AC564" s="22"/>
      <c r="AD564" s="22"/>
      <c r="AE564" s="20" t="str">
        <f>(AE561-AE106)*100 &amp; "%"</f>
        <v>-66.67%</v>
      </c>
      <c r="AF564" s="22"/>
      <c r="AG564" s="22"/>
      <c r="AH564" s="22"/>
      <c r="AI564" s="22"/>
      <c r="AJ564" s="20" t="str">
        <f>(AJ561-AJ106)*100 &amp; "%"</f>
        <v>-77.78%</v>
      </c>
      <c r="AK564" s="22"/>
      <c r="AL564" s="22"/>
      <c r="AM564" s="22"/>
      <c r="AN564" s="22"/>
      <c r="AO564" s="20" t="str">
        <f>(AO561-AO106)*100 &amp; "%"</f>
        <v>-88.89%</v>
      </c>
      <c r="AP564" s="22"/>
      <c r="AQ564" s="22"/>
      <c r="AR564" s="22"/>
      <c r="AS564" s="22"/>
      <c r="AT564" s="20" t="str">
        <f>(AT561-AT106)*100 &amp; "%"</f>
        <v>-28.57%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-33.33%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-33.33%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197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-0.59089999999999998</v>
      </c>
      <c r="V565" s="22"/>
      <c r="W565" s="22"/>
      <c r="X565" s="22"/>
      <c r="Y565" s="22"/>
      <c r="Z565" s="23">
        <f>Z562-Z166</f>
        <v>-0.5333</v>
      </c>
      <c r="AA565" s="22"/>
      <c r="AB565" s="22"/>
      <c r="AC565" s="22"/>
      <c r="AD565" s="22"/>
      <c r="AE565" s="23">
        <f>AE562-AE166</f>
        <v>-0.6</v>
      </c>
      <c r="AF565" s="22"/>
      <c r="AG565" s="22"/>
      <c r="AH565" s="22"/>
      <c r="AI565" s="22"/>
      <c r="AJ565" s="23">
        <f>AJ562-AJ166</f>
        <v>-0.68969999999999998</v>
      </c>
      <c r="AK565" s="22"/>
      <c r="AL565" s="22"/>
      <c r="AM565" s="22"/>
      <c r="AN565" s="22"/>
      <c r="AO565" s="23">
        <f>AO562-AO166</f>
        <v>-0.71430000000000005</v>
      </c>
      <c r="AP565" s="22"/>
      <c r="AQ565" s="22"/>
      <c r="AR565" s="22"/>
      <c r="AS565" s="22"/>
      <c r="AT565" s="23">
        <f>AT562-AT166</f>
        <v>-0.26669999999999999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-0.2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-0.2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2026-01-14T22:17:34Z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