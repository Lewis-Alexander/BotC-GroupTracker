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inb\Documents\code\BotC-GroupTracker\"/>
    </mc:Choice>
  </mc:AlternateContent>
  <xr:revisionPtr revIDLastSave="0" documentId="13_ncr:1_{7D84D3AA-DD45-4104-A656-90E827580EDB}" xr6:coauthVersionLast="47" xr6:coauthVersionMax="47" xr10:uidLastSave="{00000000-0000-0000-0000-000000000000}"/>
  <bookViews>
    <workbookView xWindow="-120" yWindow="-120" windowWidth="38640" windowHeight="21120" xr2:uid="{6A883E2E-6B2D-4BEF-9626-D6F4FED911C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3" i="1" l="1"/>
  <c r="C143" i="1" s="1"/>
  <c r="E143" i="1"/>
  <c r="D144" i="1"/>
  <c r="E144" i="1"/>
  <c r="C144" i="1" s="1"/>
  <c r="D145" i="1"/>
  <c r="C145" i="1" s="1"/>
  <c r="E145" i="1"/>
  <c r="D146" i="1"/>
  <c r="C146" i="1" s="1"/>
  <c r="E146" i="1"/>
  <c r="C147" i="1"/>
  <c r="D147" i="1"/>
  <c r="E147" i="1"/>
  <c r="D148" i="1"/>
  <c r="E148" i="1"/>
  <c r="C148" i="1" s="1"/>
  <c r="D149" i="1"/>
  <c r="C149" i="1" s="1"/>
  <c r="E149" i="1"/>
  <c r="D150" i="1"/>
  <c r="C150" i="1" s="1"/>
  <c r="E150" i="1"/>
  <c r="C151" i="1"/>
  <c r="D151" i="1"/>
  <c r="E151" i="1"/>
  <c r="D152" i="1"/>
  <c r="E152" i="1"/>
  <c r="C152" i="1" s="1"/>
  <c r="D153" i="1"/>
  <c r="C153" i="1" s="1"/>
  <c r="E153" i="1"/>
  <c r="D154" i="1"/>
  <c r="C154" i="1" s="1"/>
  <c r="E154" i="1"/>
  <c r="C155" i="1"/>
  <c r="D155" i="1"/>
  <c r="E155" i="1"/>
  <c r="D156" i="1"/>
  <c r="E156" i="1"/>
  <c r="C156" i="1" s="1"/>
  <c r="D157" i="1"/>
  <c r="C157" i="1" s="1"/>
  <c r="E157" i="1"/>
  <c r="D158" i="1"/>
  <c r="C158" i="1" s="1"/>
  <c r="E158" i="1"/>
  <c r="C159" i="1"/>
  <c r="D159" i="1"/>
  <c r="E159" i="1"/>
  <c r="D160" i="1"/>
  <c r="E160" i="1"/>
  <c r="C160" i="1" s="1"/>
  <c r="D161" i="1"/>
  <c r="C161" i="1" s="1"/>
  <c r="E161" i="1"/>
  <c r="C142" i="1"/>
  <c r="E142" i="1"/>
  <c r="D142" i="1"/>
  <c r="D111" i="1"/>
  <c r="C111" i="1" s="1"/>
  <c r="E111" i="1"/>
  <c r="D112" i="1"/>
  <c r="C112" i="1" s="1"/>
  <c r="E112" i="1"/>
  <c r="C113" i="1"/>
  <c r="D113" i="1"/>
  <c r="E113" i="1"/>
  <c r="D114" i="1"/>
  <c r="C114" i="1" s="1"/>
  <c r="E114" i="1"/>
  <c r="C115" i="1"/>
  <c r="D115" i="1"/>
  <c r="E115" i="1"/>
  <c r="D116" i="1"/>
  <c r="C116" i="1" s="1"/>
  <c r="E116" i="1"/>
  <c r="C117" i="1"/>
  <c r="D117" i="1"/>
  <c r="E117" i="1"/>
  <c r="D118" i="1"/>
  <c r="C118" i="1" s="1"/>
  <c r="E118" i="1"/>
  <c r="C119" i="1"/>
  <c r="D119" i="1"/>
  <c r="E119" i="1"/>
  <c r="D120" i="1"/>
  <c r="C120" i="1" s="1"/>
  <c r="E120" i="1"/>
  <c r="C121" i="1"/>
  <c r="D121" i="1"/>
  <c r="E121" i="1"/>
  <c r="D122" i="1"/>
  <c r="C122" i="1" s="1"/>
  <c r="E122" i="1"/>
  <c r="C123" i="1"/>
  <c r="D123" i="1"/>
  <c r="E123" i="1"/>
  <c r="D124" i="1"/>
  <c r="C124" i="1" s="1"/>
  <c r="E124" i="1"/>
  <c r="C125" i="1"/>
  <c r="D125" i="1"/>
  <c r="E125" i="1"/>
  <c r="D126" i="1"/>
  <c r="C126" i="1" s="1"/>
  <c r="E126" i="1"/>
  <c r="C127" i="1"/>
  <c r="D127" i="1"/>
  <c r="E127" i="1"/>
  <c r="D128" i="1"/>
  <c r="C128" i="1" s="1"/>
  <c r="E128" i="1"/>
  <c r="C129" i="1"/>
  <c r="D129" i="1"/>
  <c r="E129" i="1"/>
  <c r="D130" i="1"/>
  <c r="C130" i="1" s="1"/>
  <c r="E130" i="1"/>
  <c r="C131" i="1"/>
  <c r="D131" i="1"/>
  <c r="E131" i="1"/>
  <c r="D132" i="1"/>
  <c r="C132" i="1" s="1"/>
  <c r="E132" i="1"/>
  <c r="C133" i="1"/>
  <c r="D133" i="1"/>
  <c r="E133" i="1"/>
  <c r="D134" i="1"/>
  <c r="C134" i="1" s="1"/>
  <c r="E134" i="1"/>
  <c r="C135" i="1"/>
  <c r="D135" i="1"/>
  <c r="E135" i="1"/>
  <c r="D136" i="1"/>
  <c r="C136" i="1" s="1"/>
  <c r="E136" i="1"/>
  <c r="C137" i="1"/>
  <c r="D137" i="1"/>
  <c r="E137" i="1"/>
  <c r="C110" i="1"/>
  <c r="E110" i="1"/>
  <c r="D110" i="1"/>
  <c r="D80" i="1"/>
  <c r="C80" i="1" s="1"/>
  <c r="E80" i="1"/>
  <c r="D81" i="1"/>
  <c r="C81" i="1" s="1"/>
  <c r="E81" i="1"/>
  <c r="D82" i="1"/>
  <c r="C82" i="1" s="1"/>
  <c r="E82" i="1"/>
  <c r="D83" i="1"/>
  <c r="C83" i="1" s="1"/>
  <c r="E83" i="1"/>
  <c r="C84" i="1"/>
  <c r="D84" i="1"/>
  <c r="E84" i="1"/>
  <c r="D85" i="1"/>
  <c r="C85" i="1" s="1"/>
  <c r="E85" i="1"/>
  <c r="D86" i="1"/>
  <c r="C86" i="1" s="1"/>
  <c r="E86" i="1"/>
  <c r="D87" i="1"/>
  <c r="E87" i="1"/>
  <c r="C87" i="1" s="1"/>
  <c r="C88" i="1"/>
  <c r="D88" i="1"/>
  <c r="E88" i="1"/>
  <c r="D89" i="1"/>
  <c r="C89" i="1" s="1"/>
  <c r="E89" i="1"/>
  <c r="D90" i="1"/>
  <c r="C90" i="1" s="1"/>
  <c r="E90" i="1"/>
  <c r="D91" i="1"/>
  <c r="E91" i="1"/>
  <c r="C91" i="1" s="1"/>
  <c r="C92" i="1"/>
  <c r="D92" i="1"/>
  <c r="E92" i="1"/>
  <c r="D93" i="1"/>
  <c r="C93" i="1" s="1"/>
  <c r="E93" i="1"/>
  <c r="D94" i="1"/>
  <c r="C94" i="1" s="1"/>
  <c r="E94" i="1"/>
  <c r="D95" i="1"/>
  <c r="C95" i="1" s="1"/>
  <c r="E95" i="1"/>
  <c r="C96" i="1"/>
  <c r="D96" i="1"/>
  <c r="E96" i="1"/>
  <c r="D97" i="1"/>
  <c r="C97" i="1" s="1"/>
  <c r="E97" i="1"/>
  <c r="D98" i="1"/>
  <c r="C98" i="1" s="1"/>
  <c r="E98" i="1"/>
  <c r="D99" i="1"/>
  <c r="C99" i="1" s="1"/>
  <c r="E99" i="1"/>
  <c r="C100" i="1"/>
  <c r="D100" i="1"/>
  <c r="E100" i="1"/>
  <c r="D101" i="1"/>
  <c r="C101" i="1" s="1"/>
  <c r="E101" i="1"/>
  <c r="D102" i="1"/>
  <c r="C102" i="1" s="1"/>
  <c r="E102" i="1"/>
  <c r="C79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5" i="1"/>
  <c r="D79" i="1"/>
  <c r="E79" i="1"/>
  <c r="E74" i="1"/>
  <c r="D74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5" i="1"/>
  <c r="T210" i="1"/>
  <c r="S210" i="1"/>
  <c r="R209" i="1"/>
  <c r="R208" i="1"/>
  <c r="U208" i="1" s="1"/>
  <c r="R207" i="1"/>
  <c r="U207" i="1" s="1"/>
  <c r="R206" i="1"/>
  <c r="U206" i="1" s="1"/>
  <c r="R205" i="1"/>
  <c r="U205" i="1" s="1"/>
  <c r="O210" i="1"/>
  <c r="N210" i="1"/>
  <c r="M209" i="1"/>
  <c r="M208" i="1"/>
  <c r="P208" i="1" s="1"/>
  <c r="M207" i="1"/>
  <c r="P207" i="1" s="1"/>
  <c r="M206" i="1"/>
  <c r="P206" i="1" s="1"/>
  <c r="M205" i="1"/>
  <c r="P205" i="1" s="1"/>
  <c r="J210" i="1"/>
  <c r="I210" i="1"/>
  <c r="H209" i="1"/>
  <c r="H208" i="1"/>
  <c r="K208" i="1" s="1"/>
  <c r="H207" i="1"/>
  <c r="K207" i="1" s="1"/>
  <c r="H206" i="1"/>
  <c r="K206" i="1" s="1"/>
  <c r="H205" i="1"/>
  <c r="K205" i="1" s="1"/>
  <c r="Y199" i="1"/>
  <c r="X199" i="1"/>
  <c r="W198" i="1"/>
  <c r="W197" i="1"/>
  <c r="Z197" i="1" s="1"/>
  <c r="W196" i="1"/>
  <c r="Z196" i="1" s="1"/>
  <c r="W195" i="1"/>
  <c r="Z195" i="1" s="1"/>
  <c r="W194" i="1"/>
  <c r="Z194" i="1" s="1"/>
  <c r="O199" i="1"/>
  <c r="N199" i="1"/>
  <c r="M198" i="1"/>
  <c r="M197" i="1"/>
  <c r="P197" i="1" s="1"/>
  <c r="P196" i="1"/>
  <c r="M196" i="1"/>
  <c r="M195" i="1"/>
  <c r="P195" i="1" s="1"/>
  <c r="M194" i="1"/>
  <c r="P194" i="1" s="1"/>
  <c r="J199" i="1"/>
  <c r="I199" i="1"/>
  <c r="H198" i="1"/>
  <c r="K198" i="1" s="1"/>
  <c r="H197" i="1"/>
  <c r="K197" i="1" s="1"/>
  <c r="H196" i="1"/>
  <c r="K196" i="1" s="1"/>
  <c r="H195" i="1"/>
  <c r="K195" i="1" s="1"/>
  <c r="H194" i="1"/>
  <c r="K194" i="1" s="1"/>
  <c r="Y177" i="1"/>
  <c r="X177" i="1"/>
  <c r="T177" i="1"/>
  <c r="S177" i="1"/>
  <c r="W176" i="1"/>
  <c r="Z176" i="1" s="1"/>
  <c r="R176" i="1"/>
  <c r="U176" i="1" s="1"/>
  <c r="W175" i="1"/>
  <c r="Z175" i="1" s="1"/>
  <c r="U175" i="1"/>
  <c r="R175" i="1"/>
  <c r="W174" i="1"/>
  <c r="Z174" i="1" s="1"/>
  <c r="R174" i="1"/>
  <c r="U174" i="1" s="1"/>
  <c r="W173" i="1"/>
  <c r="Z173" i="1" s="1"/>
  <c r="R173" i="1"/>
  <c r="U173" i="1" s="1"/>
  <c r="W172" i="1"/>
  <c r="Z172" i="1" s="1"/>
  <c r="U172" i="1"/>
  <c r="R172" i="1"/>
  <c r="O177" i="1"/>
  <c r="N177" i="1"/>
  <c r="M176" i="1"/>
  <c r="M175" i="1"/>
  <c r="P175" i="1" s="1"/>
  <c r="M174" i="1"/>
  <c r="P174" i="1" s="1"/>
  <c r="M173" i="1"/>
  <c r="P173" i="1" s="1"/>
  <c r="M172" i="1"/>
  <c r="P172" i="1" s="1"/>
  <c r="Y188" i="1"/>
  <c r="X188" i="1"/>
  <c r="W187" i="1"/>
  <c r="W186" i="1"/>
  <c r="Z186" i="1" s="1"/>
  <c r="W185" i="1"/>
  <c r="Z185" i="1" s="1"/>
  <c r="W184" i="1"/>
  <c r="Z184" i="1" s="1"/>
  <c r="W183" i="1"/>
  <c r="Z183" i="1" s="1"/>
  <c r="T188" i="1"/>
  <c r="S188" i="1"/>
  <c r="R187" i="1"/>
  <c r="R186" i="1"/>
  <c r="U186" i="1" s="1"/>
  <c r="U185" i="1"/>
  <c r="R185" i="1"/>
  <c r="R184" i="1"/>
  <c r="U184" i="1" s="1"/>
  <c r="R183" i="1"/>
  <c r="U183" i="1" s="1"/>
  <c r="J188" i="1"/>
  <c r="I188" i="1"/>
  <c r="H184" i="1"/>
  <c r="K184" i="1" s="1"/>
  <c r="H185" i="1"/>
  <c r="K185" i="1" s="1"/>
  <c r="H186" i="1"/>
  <c r="K186" i="1" s="1"/>
  <c r="H187" i="1"/>
  <c r="K187" i="1" s="1"/>
  <c r="H183" i="1"/>
  <c r="K183" i="1" s="1"/>
  <c r="A193" i="1"/>
  <c r="A204" i="1"/>
  <c r="A182" i="1"/>
  <c r="A171" i="1"/>
  <c r="Y162" i="1"/>
  <c r="X162" i="1"/>
  <c r="T162" i="1"/>
  <c r="T165" i="1" s="1"/>
  <c r="S162" i="1"/>
  <c r="S165" i="1" s="1"/>
  <c r="O162" i="1"/>
  <c r="N162" i="1"/>
  <c r="I162" i="1"/>
  <c r="W161" i="1"/>
  <c r="Z161" i="1" s="1"/>
  <c r="R161" i="1"/>
  <c r="U161" i="1" s="1"/>
  <c r="M161" i="1"/>
  <c r="P161" i="1" s="1"/>
  <c r="H161" i="1"/>
  <c r="W160" i="1"/>
  <c r="Z160" i="1" s="1"/>
  <c r="R160" i="1"/>
  <c r="U160" i="1" s="1"/>
  <c r="M160" i="1"/>
  <c r="P160" i="1" s="1"/>
  <c r="H160" i="1"/>
  <c r="K160" i="1" s="1"/>
  <c r="W159" i="1"/>
  <c r="Z159" i="1" s="1"/>
  <c r="R159" i="1"/>
  <c r="U159" i="1" s="1"/>
  <c r="M159" i="1"/>
  <c r="P159" i="1" s="1"/>
  <c r="H159" i="1"/>
  <c r="K159" i="1" s="1"/>
  <c r="W158" i="1"/>
  <c r="Z158" i="1" s="1"/>
  <c r="R158" i="1"/>
  <c r="U158" i="1" s="1"/>
  <c r="M158" i="1"/>
  <c r="P158" i="1" s="1"/>
  <c r="H158" i="1"/>
  <c r="K158" i="1" s="1"/>
  <c r="W157" i="1"/>
  <c r="Z157" i="1" s="1"/>
  <c r="R157" i="1"/>
  <c r="U157" i="1" s="1"/>
  <c r="M157" i="1"/>
  <c r="P157" i="1" s="1"/>
  <c r="H157" i="1"/>
  <c r="K157" i="1" s="1"/>
  <c r="W156" i="1"/>
  <c r="Z156" i="1" s="1"/>
  <c r="R156" i="1"/>
  <c r="U156" i="1" s="1"/>
  <c r="M156" i="1"/>
  <c r="P156" i="1" s="1"/>
  <c r="H156" i="1"/>
  <c r="K156" i="1" s="1"/>
  <c r="W155" i="1"/>
  <c r="Z155" i="1" s="1"/>
  <c r="R155" i="1"/>
  <c r="U155" i="1" s="1"/>
  <c r="M155" i="1"/>
  <c r="P155" i="1" s="1"/>
  <c r="H155" i="1"/>
  <c r="W154" i="1"/>
  <c r="Z154" i="1" s="1"/>
  <c r="R154" i="1"/>
  <c r="U154" i="1" s="1"/>
  <c r="M154" i="1"/>
  <c r="H154" i="1"/>
  <c r="K154" i="1" s="1"/>
  <c r="W153" i="1"/>
  <c r="Z153" i="1" s="1"/>
  <c r="R153" i="1"/>
  <c r="U153" i="1" s="1"/>
  <c r="M153" i="1"/>
  <c r="P153" i="1" s="1"/>
  <c r="H153" i="1"/>
  <c r="W152" i="1"/>
  <c r="Z152" i="1" s="1"/>
  <c r="R152" i="1"/>
  <c r="U152" i="1" s="1"/>
  <c r="M152" i="1"/>
  <c r="P152" i="1" s="1"/>
  <c r="H152" i="1"/>
  <c r="K152" i="1" s="1"/>
  <c r="W151" i="1"/>
  <c r="Z151" i="1" s="1"/>
  <c r="R151" i="1"/>
  <c r="U151" i="1" s="1"/>
  <c r="M151" i="1"/>
  <c r="P151" i="1" s="1"/>
  <c r="H151" i="1"/>
  <c r="K151" i="1" s="1"/>
  <c r="W150" i="1"/>
  <c r="Z150" i="1" s="1"/>
  <c r="R150" i="1"/>
  <c r="U150" i="1" s="1"/>
  <c r="M150" i="1"/>
  <c r="P150" i="1" s="1"/>
  <c r="H150" i="1"/>
  <c r="W149" i="1"/>
  <c r="Z149" i="1" s="1"/>
  <c r="R149" i="1"/>
  <c r="U149" i="1" s="1"/>
  <c r="M149" i="1"/>
  <c r="P149" i="1" s="1"/>
  <c r="H149" i="1"/>
  <c r="K149" i="1" s="1"/>
  <c r="W148" i="1"/>
  <c r="Z148" i="1" s="1"/>
  <c r="R148" i="1"/>
  <c r="U148" i="1" s="1"/>
  <c r="M148" i="1"/>
  <c r="P148" i="1" s="1"/>
  <c r="H148" i="1"/>
  <c r="K148" i="1" s="1"/>
  <c r="W147" i="1"/>
  <c r="Z147" i="1" s="1"/>
  <c r="R147" i="1"/>
  <c r="U147" i="1" s="1"/>
  <c r="M147" i="1"/>
  <c r="P147" i="1" s="1"/>
  <c r="H147" i="1"/>
  <c r="K147" i="1" s="1"/>
  <c r="W146" i="1"/>
  <c r="Z146" i="1" s="1"/>
  <c r="R146" i="1"/>
  <c r="U146" i="1" s="1"/>
  <c r="M146" i="1"/>
  <c r="P146" i="1" s="1"/>
  <c r="H146" i="1"/>
  <c r="K146" i="1" s="1"/>
  <c r="W145" i="1"/>
  <c r="Z145" i="1" s="1"/>
  <c r="R145" i="1"/>
  <c r="U145" i="1" s="1"/>
  <c r="M145" i="1"/>
  <c r="P145" i="1" s="1"/>
  <c r="H145" i="1"/>
  <c r="K145" i="1" s="1"/>
  <c r="W144" i="1"/>
  <c r="Z144" i="1" s="1"/>
  <c r="R144" i="1"/>
  <c r="U144" i="1" s="1"/>
  <c r="M144" i="1"/>
  <c r="P144" i="1" s="1"/>
  <c r="H144" i="1"/>
  <c r="W143" i="1"/>
  <c r="Z143" i="1" s="1"/>
  <c r="R143" i="1"/>
  <c r="U143" i="1" s="1"/>
  <c r="M143" i="1"/>
  <c r="P143" i="1" s="1"/>
  <c r="H143" i="1"/>
  <c r="W142" i="1"/>
  <c r="R142" i="1"/>
  <c r="U142" i="1" s="1"/>
  <c r="M142" i="1"/>
  <c r="P142" i="1" s="1"/>
  <c r="H142" i="1"/>
  <c r="K142" i="1" s="1"/>
  <c r="Y138" i="1"/>
  <c r="X138" i="1"/>
  <c r="Z165" i="1" s="1"/>
  <c r="T138" i="1"/>
  <c r="S138" i="1"/>
  <c r="O138" i="1"/>
  <c r="N138" i="1"/>
  <c r="J138" i="1"/>
  <c r="J165" i="1" s="1"/>
  <c r="I138" i="1"/>
  <c r="W137" i="1"/>
  <c r="Z137" i="1" s="1"/>
  <c r="R137" i="1"/>
  <c r="U137" i="1" s="1"/>
  <c r="M137" i="1"/>
  <c r="P137" i="1" s="1"/>
  <c r="H137" i="1"/>
  <c r="W136" i="1"/>
  <c r="Z136" i="1" s="1"/>
  <c r="R136" i="1"/>
  <c r="U136" i="1" s="1"/>
  <c r="M136" i="1"/>
  <c r="P136" i="1" s="1"/>
  <c r="H136" i="1"/>
  <c r="K136" i="1" s="1"/>
  <c r="W135" i="1"/>
  <c r="Z135" i="1" s="1"/>
  <c r="R135" i="1"/>
  <c r="U135" i="1" s="1"/>
  <c r="M135" i="1"/>
  <c r="P135" i="1" s="1"/>
  <c r="H135" i="1"/>
  <c r="K135" i="1" s="1"/>
  <c r="W134" i="1"/>
  <c r="Z134" i="1" s="1"/>
  <c r="R134" i="1"/>
  <c r="U134" i="1" s="1"/>
  <c r="M134" i="1"/>
  <c r="P134" i="1" s="1"/>
  <c r="H134" i="1"/>
  <c r="K134" i="1" s="1"/>
  <c r="W133" i="1"/>
  <c r="Z133" i="1" s="1"/>
  <c r="R133" i="1"/>
  <c r="U133" i="1" s="1"/>
  <c r="M133" i="1"/>
  <c r="P133" i="1" s="1"/>
  <c r="H133" i="1"/>
  <c r="W132" i="1"/>
  <c r="Z132" i="1" s="1"/>
  <c r="R132" i="1"/>
  <c r="U132" i="1" s="1"/>
  <c r="M132" i="1"/>
  <c r="P132" i="1" s="1"/>
  <c r="H132" i="1"/>
  <c r="K132" i="1" s="1"/>
  <c r="W131" i="1"/>
  <c r="Z131" i="1" s="1"/>
  <c r="R131" i="1"/>
  <c r="U131" i="1" s="1"/>
  <c r="M131" i="1"/>
  <c r="P131" i="1" s="1"/>
  <c r="H131" i="1"/>
  <c r="K131" i="1" s="1"/>
  <c r="W130" i="1"/>
  <c r="Z130" i="1" s="1"/>
  <c r="R130" i="1"/>
  <c r="U130" i="1" s="1"/>
  <c r="M130" i="1"/>
  <c r="P130" i="1" s="1"/>
  <c r="H130" i="1"/>
  <c r="K130" i="1" s="1"/>
  <c r="W129" i="1"/>
  <c r="Z129" i="1" s="1"/>
  <c r="R129" i="1"/>
  <c r="U129" i="1" s="1"/>
  <c r="M129" i="1"/>
  <c r="P129" i="1" s="1"/>
  <c r="H129" i="1"/>
  <c r="K129" i="1" s="1"/>
  <c r="W128" i="1"/>
  <c r="Z128" i="1" s="1"/>
  <c r="R128" i="1"/>
  <c r="U128" i="1" s="1"/>
  <c r="M128" i="1"/>
  <c r="P128" i="1" s="1"/>
  <c r="H128" i="1"/>
  <c r="K128" i="1" s="1"/>
  <c r="W127" i="1"/>
  <c r="Z127" i="1" s="1"/>
  <c r="R127" i="1"/>
  <c r="U127" i="1" s="1"/>
  <c r="M127" i="1"/>
  <c r="P127" i="1" s="1"/>
  <c r="H127" i="1"/>
  <c r="K127" i="1" s="1"/>
  <c r="W126" i="1"/>
  <c r="Z126" i="1" s="1"/>
  <c r="R126" i="1"/>
  <c r="U126" i="1" s="1"/>
  <c r="M126" i="1"/>
  <c r="P126" i="1" s="1"/>
  <c r="H126" i="1"/>
  <c r="K126" i="1" s="1"/>
  <c r="W125" i="1"/>
  <c r="Z125" i="1" s="1"/>
  <c r="R125" i="1"/>
  <c r="U125" i="1" s="1"/>
  <c r="M125" i="1"/>
  <c r="P125" i="1" s="1"/>
  <c r="H125" i="1"/>
  <c r="K125" i="1" s="1"/>
  <c r="W124" i="1"/>
  <c r="Z124" i="1" s="1"/>
  <c r="R124" i="1"/>
  <c r="U124" i="1" s="1"/>
  <c r="M124" i="1"/>
  <c r="P124" i="1" s="1"/>
  <c r="H124" i="1"/>
  <c r="K124" i="1" s="1"/>
  <c r="W123" i="1"/>
  <c r="Z123" i="1" s="1"/>
  <c r="R123" i="1"/>
  <c r="U123" i="1" s="1"/>
  <c r="M123" i="1"/>
  <c r="P123" i="1" s="1"/>
  <c r="H123" i="1"/>
  <c r="K123" i="1" s="1"/>
  <c r="W122" i="1"/>
  <c r="Z122" i="1" s="1"/>
  <c r="R122" i="1"/>
  <c r="U122" i="1" s="1"/>
  <c r="M122" i="1"/>
  <c r="P122" i="1" s="1"/>
  <c r="H122" i="1"/>
  <c r="K122" i="1" s="1"/>
  <c r="W121" i="1"/>
  <c r="Z121" i="1" s="1"/>
  <c r="R121" i="1"/>
  <c r="U121" i="1" s="1"/>
  <c r="M121" i="1"/>
  <c r="P121" i="1" s="1"/>
  <c r="H121" i="1"/>
  <c r="K121" i="1" s="1"/>
  <c r="W120" i="1"/>
  <c r="Z120" i="1" s="1"/>
  <c r="R120" i="1"/>
  <c r="U120" i="1" s="1"/>
  <c r="M120" i="1"/>
  <c r="P120" i="1" s="1"/>
  <c r="H120" i="1"/>
  <c r="W119" i="1"/>
  <c r="Z119" i="1" s="1"/>
  <c r="R119" i="1"/>
  <c r="U119" i="1" s="1"/>
  <c r="M119" i="1"/>
  <c r="P119" i="1" s="1"/>
  <c r="H119" i="1"/>
  <c r="K119" i="1" s="1"/>
  <c r="W118" i="1"/>
  <c r="Z118" i="1" s="1"/>
  <c r="R118" i="1"/>
  <c r="U118" i="1" s="1"/>
  <c r="M118" i="1"/>
  <c r="P118" i="1" s="1"/>
  <c r="H118" i="1"/>
  <c r="K118" i="1" s="1"/>
  <c r="W117" i="1"/>
  <c r="Z117" i="1" s="1"/>
  <c r="R117" i="1"/>
  <c r="U117" i="1" s="1"/>
  <c r="M117" i="1"/>
  <c r="P117" i="1" s="1"/>
  <c r="H117" i="1"/>
  <c r="K117" i="1" s="1"/>
  <c r="W116" i="1"/>
  <c r="Z116" i="1" s="1"/>
  <c r="R116" i="1"/>
  <c r="U116" i="1" s="1"/>
  <c r="M116" i="1"/>
  <c r="P116" i="1" s="1"/>
  <c r="H116" i="1"/>
  <c r="K116" i="1" s="1"/>
  <c r="W115" i="1"/>
  <c r="Z115" i="1" s="1"/>
  <c r="R115" i="1"/>
  <c r="U115" i="1" s="1"/>
  <c r="M115" i="1"/>
  <c r="P115" i="1" s="1"/>
  <c r="H115" i="1"/>
  <c r="K115" i="1" s="1"/>
  <c r="W114" i="1"/>
  <c r="Z114" i="1" s="1"/>
  <c r="R114" i="1"/>
  <c r="U114" i="1" s="1"/>
  <c r="M114" i="1"/>
  <c r="P114" i="1" s="1"/>
  <c r="H114" i="1"/>
  <c r="W113" i="1"/>
  <c r="Z113" i="1" s="1"/>
  <c r="R113" i="1"/>
  <c r="U113" i="1" s="1"/>
  <c r="M113" i="1"/>
  <c r="P113" i="1" s="1"/>
  <c r="H113" i="1"/>
  <c r="K113" i="1" s="1"/>
  <c r="W112" i="1"/>
  <c r="R112" i="1"/>
  <c r="U112" i="1" s="1"/>
  <c r="M112" i="1"/>
  <c r="P112" i="1" s="1"/>
  <c r="H112" i="1"/>
  <c r="K112" i="1" s="1"/>
  <c r="W111" i="1"/>
  <c r="Z111" i="1" s="1"/>
  <c r="R111" i="1"/>
  <c r="U111" i="1" s="1"/>
  <c r="M111" i="1"/>
  <c r="P111" i="1" s="1"/>
  <c r="H111" i="1"/>
  <c r="K111" i="1" s="1"/>
  <c r="W110" i="1"/>
  <c r="Z110" i="1" s="1"/>
  <c r="R110" i="1"/>
  <c r="M110" i="1"/>
  <c r="P110" i="1" s="1"/>
  <c r="H110" i="1"/>
  <c r="Y103" i="1"/>
  <c r="Y106" i="1" s="1"/>
  <c r="X103" i="1"/>
  <c r="T103" i="1"/>
  <c r="S103" i="1"/>
  <c r="O103" i="1"/>
  <c r="N103" i="1"/>
  <c r="J103" i="1"/>
  <c r="I103" i="1"/>
  <c r="W102" i="1"/>
  <c r="Z102" i="1" s="1"/>
  <c r="R102" i="1"/>
  <c r="U102" i="1" s="1"/>
  <c r="M102" i="1"/>
  <c r="P102" i="1" s="1"/>
  <c r="H102" i="1"/>
  <c r="K102" i="1" s="1"/>
  <c r="W101" i="1"/>
  <c r="Z101" i="1" s="1"/>
  <c r="R101" i="1"/>
  <c r="U101" i="1" s="1"/>
  <c r="M101" i="1"/>
  <c r="P101" i="1" s="1"/>
  <c r="H101" i="1"/>
  <c r="K101" i="1" s="1"/>
  <c r="W100" i="1"/>
  <c r="Z100" i="1" s="1"/>
  <c r="R100" i="1"/>
  <c r="U100" i="1" s="1"/>
  <c r="M100" i="1"/>
  <c r="P100" i="1" s="1"/>
  <c r="H100" i="1"/>
  <c r="W99" i="1"/>
  <c r="Z99" i="1" s="1"/>
  <c r="R99" i="1"/>
  <c r="U99" i="1" s="1"/>
  <c r="M99" i="1"/>
  <c r="P99" i="1" s="1"/>
  <c r="H99" i="1"/>
  <c r="W98" i="1"/>
  <c r="Z98" i="1" s="1"/>
  <c r="R98" i="1"/>
  <c r="U98" i="1" s="1"/>
  <c r="M98" i="1"/>
  <c r="P98" i="1" s="1"/>
  <c r="H98" i="1"/>
  <c r="K98" i="1" s="1"/>
  <c r="W97" i="1"/>
  <c r="Z97" i="1" s="1"/>
  <c r="R97" i="1"/>
  <c r="U97" i="1" s="1"/>
  <c r="M97" i="1"/>
  <c r="P97" i="1" s="1"/>
  <c r="H97" i="1"/>
  <c r="K97" i="1" s="1"/>
  <c r="W96" i="1"/>
  <c r="Z96" i="1" s="1"/>
  <c r="R96" i="1"/>
  <c r="U96" i="1" s="1"/>
  <c r="M96" i="1"/>
  <c r="P96" i="1" s="1"/>
  <c r="H96" i="1"/>
  <c r="K96" i="1" s="1"/>
  <c r="W95" i="1"/>
  <c r="Z95" i="1" s="1"/>
  <c r="R95" i="1"/>
  <c r="U95" i="1" s="1"/>
  <c r="M95" i="1"/>
  <c r="H95" i="1"/>
  <c r="K95" i="1" s="1"/>
  <c r="W94" i="1"/>
  <c r="Z94" i="1" s="1"/>
  <c r="R94" i="1"/>
  <c r="U94" i="1" s="1"/>
  <c r="M94" i="1"/>
  <c r="P94" i="1" s="1"/>
  <c r="H94" i="1"/>
  <c r="W93" i="1"/>
  <c r="Z93" i="1" s="1"/>
  <c r="R93" i="1"/>
  <c r="U93" i="1" s="1"/>
  <c r="M93" i="1"/>
  <c r="P93" i="1" s="1"/>
  <c r="H93" i="1"/>
  <c r="K93" i="1" s="1"/>
  <c r="W92" i="1"/>
  <c r="Z92" i="1" s="1"/>
  <c r="R92" i="1"/>
  <c r="U92" i="1" s="1"/>
  <c r="M92" i="1"/>
  <c r="H92" i="1"/>
  <c r="K92" i="1" s="1"/>
  <c r="W91" i="1"/>
  <c r="Z91" i="1" s="1"/>
  <c r="R91" i="1"/>
  <c r="U91" i="1" s="1"/>
  <c r="M91" i="1"/>
  <c r="P91" i="1" s="1"/>
  <c r="H91" i="1"/>
  <c r="K91" i="1" s="1"/>
  <c r="W90" i="1"/>
  <c r="Z90" i="1" s="1"/>
  <c r="R90" i="1"/>
  <c r="U90" i="1" s="1"/>
  <c r="M90" i="1"/>
  <c r="P90" i="1" s="1"/>
  <c r="H90" i="1"/>
  <c r="K90" i="1" s="1"/>
  <c r="W89" i="1"/>
  <c r="Z89" i="1" s="1"/>
  <c r="R89" i="1"/>
  <c r="U89" i="1" s="1"/>
  <c r="M89" i="1"/>
  <c r="H89" i="1"/>
  <c r="K89" i="1" s="1"/>
  <c r="W88" i="1"/>
  <c r="Z88" i="1" s="1"/>
  <c r="R88" i="1"/>
  <c r="U88" i="1" s="1"/>
  <c r="M88" i="1"/>
  <c r="P88" i="1" s="1"/>
  <c r="H88" i="1"/>
  <c r="K88" i="1" s="1"/>
  <c r="W87" i="1"/>
  <c r="Z87" i="1" s="1"/>
  <c r="R87" i="1"/>
  <c r="U87" i="1" s="1"/>
  <c r="M87" i="1"/>
  <c r="P87" i="1" s="1"/>
  <c r="H87" i="1"/>
  <c r="K87" i="1" s="1"/>
  <c r="W86" i="1"/>
  <c r="Z86" i="1" s="1"/>
  <c r="R86" i="1"/>
  <c r="U86" i="1" s="1"/>
  <c r="M86" i="1"/>
  <c r="H86" i="1"/>
  <c r="K86" i="1" s="1"/>
  <c r="W85" i="1"/>
  <c r="Z85" i="1" s="1"/>
  <c r="R85" i="1"/>
  <c r="U85" i="1" s="1"/>
  <c r="M85" i="1"/>
  <c r="P85" i="1" s="1"/>
  <c r="H85" i="1"/>
  <c r="K85" i="1" s="1"/>
  <c r="W84" i="1"/>
  <c r="Z84" i="1" s="1"/>
  <c r="R84" i="1"/>
  <c r="U84" i="1" s="1"/>
  <c r="M84" i="1"/>
  <c r="P84" i="1" s="1"/>
  <c r="H84" i="1"/>
  <c r="K84" i="1" s="1"/>
  <c r="W83" i="1"/>
  <c r="Z83" i="1" s="1"/>
  <c r="R83" i="1"/>
  <c r="U83" i="1" s="1"/>
  <c r="M83" i="1"/>
  <c r="P83" i="1" s="1"/>
  <c r="H83" i="1"/>
  <c r="K83" i="1" s="1"/>
  <c r="W82" i="1"/>
  <c r="Z82" i="1" s="1"/>
  <c r="R82" i="1"/>
  <c r="U82" i="1" s="1"/>
  <c r="M82" i="1"/>
  <c r="P82" i="1" s="1"/>
  <c r="H82" i="1"/>
  <c r="W81" i="1"/>
  <c r="Z81" i="1" s="1"/>
  <c r="R81" i="1"/>
  <c r="U81" i="1" s="1"/>
  <c r="M81" i="1"/>
  <c r="P81" i="1" s="1"/>
  <c r="H81" i="1"/>
  <c r="K81" i="1" s="1"/>
  <c r="W80" i="1"/>
  <c r="Z80" i="1" s="1"/>
  <c r="R80" i="1"/>
  <c r="U80" i="1" s="1"/>
  <c r="M80" i="1"/>
  <c r="P80" i="1" s="1"/>
  <c r="H80" i="1"/>
  <c r="K80" i="1" s="1"/>
  <c r="W79" i="1"/>
  <c r="Z79" i="1" s="1"/>
  <c r="R79" i="1"/>
  <c r="U79" i="1" s="1"/>
  <c r="M79" i="1"/>
  <c r="P79" i="1" s="1"/>
  <c r="H79" i="1"/>
  <c r="Y75" i="1"/>
  <c r="X75" i="1"/>
  <c r="Z106" i="1" s="1"/>
  <c r="T75" i="1"/>
  <c r="S75" i="1"/>
  <c r="U106" i="1" s="1"/>
  <c r="O75" i="1"/>
  <c r="N75" i="1"/>
  <c r="J75" i="1"/>
  <c r="I75" i="1"/>
  <c r="W74" i="1"/>
  <c r="Z74" i="1" s="1"/>
  <c r="R74" i="1"/>
  <c r="U74" i="1" s="1"/>
  <c r="M74" i="1"/>
  <c r="P74" i="1" s="1"/>
  <c r="H74" i="1"/>
  <c r="K74" i="1" s="1"/>
  <c r="W73" i="1"/>
  <c r="Z73" i="1" s="1"/>
  <c r="R73" i="1"/>
  <c r="U73" i="1" s="1"/>
  <c r="M73" i="1"/>
  <c r="P73" i="1" s="1"/>
  <c r="H73" i="1"/>
  <c r="K73" i="1" s="1"/>
  <c r="W72" i="1"/>
  <c r="Z72" i="1" s="1"/>
  <c r="R72" i="1"/>
  <c r="U72" i="1" s="1"/>
  <c r="M72" i="1"/>
  <c r="H72" i="1"/>
  <c r="K72" i="1" s="1"/>
  <c r="W71" i="1"/>
  <c r="Z71" i="1" s="1"/>
  <c r="R71" i="1"/>
  <c r="U71" i="1" s="1"/>
  <c r="M71" i="1"/>
  <c r="P71" i="1" s="1"/>
  <c r="H71" i="1"/>
  <c r="W70" i="1"/>
  <c r="Z70" i="1" s="1"/>
  <c r="R70" i="1"/>
  <c r="U70" i="1" s="1"/>
  <c r="M70" i="1"/>
  <c r="P70" i="1" s="1"/>
  <c r="H70" i="1"/>
  <c r="K70" i="1" s="1"/>
  <c r="W69" i="1"/>
  <c r="Z69" i="1" s="1"/>
  <c r="R69" i="1"/>
  <c r="U69" i="1" s="1"/>
  <c r="M69" i="1"/>
  <c r="P69" i="1" s="1"/>
  <c r="H69" i="1"/>
  <c r="K69" i="1" s="1"/>
  <c r="W68" i="1"/>
  <c r="Z68" i="1" s="1"/>
  <c r="R68" i="1"/>
  <c r="U68" i="1" s="1"/>
  <c r="M68" i="1"/>
  <c r="H68" i="1"/>
  <c r="K68" i="1" s="1"/>
  <c r="W67" i="1"/>
  <c r="Z67" i="1" s="1"/>
  <c r="R67" i="1"/>
  <c r="U67" i="1" s="1"/>
  <c r="M67" i="1"/>
  <c r="P67" i="1" s="1"/>
  <c r="H67" i="1"/>
  <c r="K67" i="1" s="1"/>
  <c r="W66" i="1"/>
  <c r="Z66" i="1" s="1"/>
  <c r="R66" i="1"/>
  <c r="U66" i="1" s="1"/>
  <c r="M66" i="1"/>
  <c r="P66" i="1" s="1"/>
  <c r="H66" i="1"/>
  <c r="K66" i="1" s="1"/>
  <c r="W65" i="1"/>
  <c r="Z65" i="1" s="1"/>
  <c r="R65" i="1"/>
  <c r="U65" i="1" s="1"/>
  <c r="M65" i="1"/>
  <c r="P65" i="1" s="1"/>
  <c r="H65" i="1"/>
  <c r="W64" i="1"/>
  <c r="Z64" i="1" s="1"/>
  <c r="R64" i="1"/>
  <c r="U64" i="1" s="1"/>
  <c r="M64" i="1"/>
  <c r="P64" i="1" s="1"/>
  <c r="H64" i="1"/>
  <c r="K64" i="1" s="1"/>
  <c r="W63" i="1"/>
  <c r="Z63" i="1" s="1"/>
  <c r="R63" i="1"/>
  <c r="U63" i="1" s="1"/>
  <c r="M63" i="1"/>
  <c r="P63" i="1" s="1"/>
  <c r="H63" i="1"/>
  <c r="W62" i="1"/>
  <c r="Z62" i="1" s="1"/>
  <c r="R62" i="1"/>
  <c r="U62" i="1" s="1"/>
  <c r="M62" i="1"/>
  <c r="P62" i="1" s="1"/>
  <c r="H62" i="1"/>
  <c r="K62" i="1" s="1"/>
  <c r="W61" i="1"/>
  <c r="Z61" i="1" s="1"/>
  <c r="R61" i="1"/>
  <c r="U61" i="1" s="1"/>
  <c r="M61" i="1"/>
  <c r="P61" i="1" s="1"/>
  <c r="H61" i="1"/>
  <c r="K61" i="1" s="1"/>
  <c r="W60" i="1"/>
  <c r="Z60" i="1" s="1"/>
  <c r="R60" i="1"/>
  <c r="U60" i="1" s="1"/>
  <c r="M60" i="1"/>
  <c r="P60" i="1" s="1"/>
  <c r="H60" i="1"/>
  <c r="K60" i="1" s="1"/>
  <c r="W59" i="1"/>
  <c r="Z59" i="1" s="1"/>
  <c r="R59" i="1"/>
  <c r="U59" i="1" s="1"/>
  <c r="M59" i="1"/>
  <c r="P59" i="1" s="1"/>
  <c r="H59" i="1"/>
  <c r="W58" i="1"/>
  <c r="Z58" i="1" s="1"/>
  <c r="R58" i="1"/>
  <c r="U58" i="1" s="1"/>
  <c r="M58" i="1"/>
  <c r="H58" i="1"/>
  <c r="K58" i="1" s="1"/>
  <c r="W57" i="1"/>
  <c r="Z57" i="1" s="1"/>
  <c r="R57" i="1"/>
  <c r="U57" i="1" s="1"/>
  <c r="M57" i="1"/>
  <c r="P57" i="1" s="1"/>
  <c r="H57" i="1"/>
  <c r="K57" i="1" s="1"/>
  <c r="W56" i="1"/>
  <c r="Z56" i="1" s="1"/>
  <c r="R56" i="1"/>
  <c r="U56" i="1" s="1"/>
  <c r="M56" i="1"/>
  <c r="P56" i="1" s="1"/>
  <c r="H56" i="1"/>
  <c r="K56" i="1" s="1"/>
  <c r="W55" i="1"/>
  <c r="Z55" i="1" s="1"/>
  <c r="R55" i="1"/>
  <c r="U55" i="1" s="1"/>
  <c r="M55" i="1"/>
  <c r="H55" i="1"/>
  <c r="K55" i="1" s="1"/>
  <c r="W54" i="1"/>
  <c r="Z54" i="1" s="1"/>
  <c r="R54" i="1"/>
  <c r="U54" i="1" s="1"/>
  <c r="M54" i="1"/>
  <c r="P54" i="1" s="1"/>
  <c r="H54" i="1"/>
  <c r="K54" i="1" s="1"/>
  <c r="W53" i="1"/>
  <c r="Z53" i="1" s="1"/>
  <c r="R53" i="1"/>
  <c r="U53" i="1" s="1"/>
  <c r="M53" i="1"/>
  <c r="P53" i="1" s="1"/>
  <c r="H53" i="1"/>
  <c r="K53" i="1" s="1"/>
  <c r="W52" i="1"/>
  <c r="Z52" i="1" s="1"/>
  <c r="R52" i="1"/>
  <c r="U52" i="1" s="1"/>
  <c r="M52" i="1"/>
  <c r="P52" i="1" s="1"/>
  <c r="H52" i="1"/>
  <c r="W51" i="1"/>
  <c r="Z51" i="1" s="1"/>
  <c r="R51" i="1"/>
  <c r="U51" i="1" s="1"/>
  <c r="M51" i="1"/>
  <c r="H51" i="1"/>
  <c r="K51" i="1" s="1"/>
  <c r="W50" i="1"/>
  <c r="Z50" i="1" s="1"/>
  <c r="R50" i="1"/>
  <c r="U50" i="1" s="1"/>
  <c r="M50" i="1"/>
  <c r="P50" i="1" s="1"/>
  <c r="H50" i="1"/>
  <c r="K50" i="1" s="1"/>
  <c r="W49" i="1"/>
  <c r="Z49" i="1" s="1"/>
  <c r="R49" i="1"/>
  <c r="U49" i="1" s="1"/>
  <c r="M49" i="1"/>
  <c r="P49" i="1" s="1"/>
  <c r="H49" i="1"/>
  <c r="W48" i="1"/>
  <c r="Z48" i="1" s="1"/>
  <c r="R48" i="1"/>
  <c r="U48" i="1" s="1"/>
  <c r="M48" i="1"/>
  <c r="H48" i="1"/>
  <c r="K48" i="1" s="1"/>
  <c r="W47" i="1"/>
  <c r="Z47" i="1" s="1"/>
  <c r="R47" i="1"/>
  <c r="U47" i="1" s="1"/>
  <c r="M47" i="1"/>
  <c r="P47" i="1" s="1"/>
  <c r="H47" i="1"/>
  <c r="K47" i="1" s="1"/>
  <c r="W46" i="1"/>
  <c r="Z46" i="1" s="1"/>
  <c r="R46" i="1"/>
  <c r="U46" i="1" s="1"/>
  <c r="M46" i="1"/>
  <c r="P46" i="1" s="1"/>
  <c r="H46" i="1"/>
  <c r="W45" i="1"/>
  <c r="Z45" i="1" s="1"/>
  <c r="R45" i="1"/>
  <c r="U45" i="1" s="1"/>
  <c r="M45" i="1"/>
  <c r="P45" i="1" s="1"/>
  <c r="H45" i="1"/>
  <c r="K45" i="1" s="1"/>
  <c r="W44" i="1"/>
  <c r="Z44" i="1" s="1"/>
  <c r="R44" i="1"/>
  <c r="U44" i="1" s="1"/>
  <c r="M44" i="1"/>
  <c r="P44" i="1" s="1"/>
  <c r="H44" i="1"/>
  <c r="K44" i="1" s="1"/>
  <c r="W43" i="1"/>
  <c r="Z43" i="1" s="1"/>
  <c r="R43" i="1"/>
  <c r="U43" i="1" s="1"/>
  <c r="M43" i="1"/>
  <c r="P43" i="1" s="1"/>
  <c r="H43" i="1"/>
  <c r="W42" i="1"/>
  <c r="Z42" i="1" s="1"/>
  <c r="R42" i="1"/>
  <c r="U42" i="1" s="1"/>
  <c r="M42" i="1"/>
  <c r="H42" i="1"/>
  <c r="K42" i="1" s="1"/>
  <c r="W41" i="1"/>
  <c r="Z41" i="1" s="1"/>
  <c r="R41" i="1"/>
  <c r="U41" i="1" s="1"/>
  <c r="M41" i="1"/>
  <c r="P41" i="1" s="1"/>
  <c r="H41" i="1"/>
  <c r="K41" i="1" s="1"/>
  <c r="W40" i="1"/>
  <c r="Z40" i="1" s="1"/>
  <c r="R40" i="1"/>
  <c r="U40" i="1" s="1"/>
  <c r="M40" i="1"/>
  <c r="P40" i="1" s="1"/>
  <c r="H40" i="1"/>
  <c r="W39" i="1"/>
  <c r="Z39" i="1" s="1"/>
  <c r="R39" i="1"/>
  <c r="U39" i="1" s="1"/>
  <c r="M39" i="1"/>
  <c r="P39" i="1" s="1"/>
  <c r="H39" i="1"/>
  <c r="K39" i="1" s="1"/>
  <c r="W38" i="1"/>
  <c r="Z38" i="1" s="1"/>
  <c r="R38" i="1"/>
  <c r="U38" i="1" s="1"/>
  <c r="M38" i="1"/>
  <c r="P38" i="1" s="1"/>
  <c r="H38" i="1"/>
  <c r="K38" i="1" s="1"/>
  <c r="W37" i="1"/>
  <c r="Z37" i="1" s="1"/>
  <c r="R37" i="1"/>
  <c r="U37" i="1" s="1"/>
  <c r="M37" i="1"/>
  <c r="P37" i="1" s="1"/>
  <c r="H37" i="1"/>
  <c r="W36" i="1"/>
  <c r="Z36" i="1" s="1"/>
  <c r="R36" i="1"/>
  <c r="U36" i="1" s="1"/>
  <c r="M36" i="1"/>
  <c r="P36" i="1" s="1"/>
  <c r="H36" i="1"/>
  <c r="K36" i="1" s="1"/>
  <c r="W35" i="1"/>
  <c r="Z35" i="1" s="1"/>
  <c r="R35" i="1"/>
  <c r="U35" i="1" s="1"/>
  <c r="M35" i="1"/>
  <c r="P35" i="1" s="1"/>
  <c r="H35" i="1"/>
  <c r="K35" i="1" s="1"/>
  <c r="W34" i="1"/>
  <c r="Z34" i="1" s="1"/>
  <c r="R34" i="1"/>
  <c r="U34" i="1" s="1"/>
  <c r="M34" i="1"/>
  <c r="P34" i="1" s="1"/>
  <c r="H34" i="1"/>
  <c r="K34" i="1" s="1"/>
  <c r="W33" i="1"/>
  <c r="Z33" i="1" s="1"/>
  <c r="R33" i="1"/>
  <c r="U33" i="1" s="1"/>
  <c r="M33" i="1"/>
  <c r="P33" i="1" s="1"/>
  <c r="H33" i="1"/>
  <c r="K33" i="1" s="1"/>
  <c r="W32" i="1"/>
  <c r="Z32" i="1" s="1"/>
  <c r="R32" i="1"/>
  <c r="U32" i="1" s="1"/>
  <c r="M32" i="1"/>
  <c r="P32" i="1" s="1"/>
  <c r="H32" i="1"/>
  <c r="K32" i="1" s="1"/>
  <c r="W31" i="1"/>
  <c r="Z31" i="1" s="1"/>
  <c r="R31" i="1"/>
  <c r="U31" i="1" s="1"/>
  <c r="M31" i="1"/>
  <c r="P31" i="1" s="1"/>
  <c r="H31" i="1"/>
  <c r="K31" i="1" s="1"/>
  <c r="W30" i="1"/>
  <c r="Z30" i="1" s="1"/>
  <c r="R30" i="1"/>
  <c r="U30" i="1" s="1"/>
  <c r="M30" i="1"/>
  <c r="P30" i="1" s="1"/>
  <c r="H30" i="1"/>
  <c r="K30" i="1" s="1"/>
  <c r="W29" i="1"/>
  <c r="Z29" i="1" s="1"/>
  <c r="R29" i="1"/>
  <c r="U29" i="1" s="1"/>
  <c r="M29" i="1"/>
  <c r="P29" i="1" s="1"/>
  <c r="H29" i="1"/>
  <c r="K29" i="1" s="1"/>
  <c r="W28" i="1"/>
  <c r="Z28" i="1" s="1"/>
  <c r="R28" i="1"/>
  <c r="U28" i="1" s="1"/>
  <c r="M28" i="1"/>
  <c r="P28" i="1" s="1"/>
  <c r="H28" i="1"/>
  <c r="W27" i="1"/>
  <c r="Z27" i="1" s="1"/>
  <c r="R27" i="1"/>
  <c r="U27" i="1" s="1"/>
  <c r="M27" i="1"/>
  <c r="P27" i="1" s="1"/>
  <c r="H27" i="1"/>
  <c r="K27" i="1" s="1"/>
  <c r="W26" i="1"/>
  <c r="Z26" i="1" s="1"/>
  <c r="R26" i="1"/>
  <c r="U26" i="1" s="1"/>
  <c r="M26" i="1"/>
  <c r="P26" i="1" s="1"/>
  <c r="H26" i="1"/>
  <c r="K26" i="1" s="1"/>
  <c r="W25" i="1"/>
  <c r="Z25" i="1" s="1"/>
  <c r="R25" i="1"/>
  <c r="U25" i="1" s="1"/>
  <c r="M25" i="1"/>
  <c r="P25" i="1" s="1"/>
  <c r="H25" i="1"/>
  <c r="W24" i="1"/>
  <c r="Z24" i="1" s="1"/>
  <c r="R24" i="1"/>
  <c r="U24" i="1" s="1"/>
  <c r="M24" i="1"/>
  <c r="P24" i="1" s="1"/>
  <c r="H24" i="1"/>
  <c r="K24" i="1" s="1"/>
  <c r="W23" i="1"/>
  <c r="Z23" i="1" s="1"/>
  <c r="R23" i="1"/>
  <c r="U23" i="1" s="1"/>
  <c r="M23" i="1"/>
  <c r="P23" i="1" s="1"/>
  <c r="H23" i="1"/>
  <c r="K23" i="1" s="1"/>
  <c r="W22" i="1"/>
  <c r="Z22" i="1" s="1"/>
  <c r="R22" i="1"/>
  <c r="U22" i="1" s="1"/>
  <c r="M22" i="1"/>
  <c r="P22" i="1" s="1"/>
  <c r="H22" i="1"/>
  <c r="W21" i="1"/>
  <c r="Z21" i="1" s="1"/>
  <c r="R21" i="1"/>
  <c r="U21" i="1" s="1"/>
  <c r="M21" i="1"/>
  <c r="P21" i="1" s="1"/>
  <c r="H21" i="1"/>
  <c r="K21" i="1" s="1"/>
  <c r="W20" i="1"/>
  <c r="Z20" i="1" s="1"/>
  <c r="R20" i="1"/>
  <c r="U20" i="1" s="1"/>
  <c r="M20" i="1"/>
  <c r="P20" i="1" s="1"/>
  <c r="H20" i="1"/>
  <c r="K20" i="1" s="1"/>
  <c r="W19" i="1"/>
  <c r="Z19" i="1" s="1"/>
  <c r="R19" i="1"/>
  <c r="U19" i="1" s="1"/>
  <c r="M19" i="1"/>
  <c r="P19" i="1" s="1"/>
  <c r="H19" i="1"/>
  <c r="W18" i="1"/>
  <c r="Z18" i="1" s="1"/>
  <c r="R18" i="1"/>
  <c r="U18" i="1" s="1"/>
  <c r="M18" i="1"/>
  <c r="P18" i="1" s="1"/>
  <c r="H18" i="1"/>
  <c r="K18" i="1" s="1"/>
  <c r="W17" i="1"/>
  <c r="Z17" i="1" s="1"/>
  <c r="R17" i="1"/>
  <c r="U17" i="1" s="1"/>
  <c r="M17" i="1"/>
  <c r="P17" i="1" s="1"/>
  <c r="H17" i="1"/>
  <c r="K17" i="1" s="1"/>
  <c r="W16" i="1"/>
  <c r="Z16" i="1" s="1"/>
  <c r="R16" i="1"/>
  <c r="U16" i="1" s="1"/>
  <c r="M16" i="1"/>
  <c r="P16" i="1" s="1"/>
  <c r="H16" i="1"/>
  <c r="W15" i="1"/>
  <c r="Z15" i="1" s="1"/>
  <c r="R15" i="1"/>
  <c r="U15" i="1" s="1"/>
  <c r="M15" i="1"/>
  <c r="P15" i="1" s="1"/>
  <c r="H15" i="1"/>
  <c r="K15" i="1" s="1"/>
  <c r="W14" i="1"/>
  <c r="Z14" i="1" s="1"/>
  <c r="R14" i="1"/>
  <c r="U14" i="1" s="1"/>
  <c r="M14" i="1"/>
  <c r="P14" i="1" s="1"/>
  <c r="H14" i="1"/>
  <c r="K14" i="1" s="1"/>
  <c r="W13" i="1"/>
  <c r="Z13" i="1" s="1"/>
  <c r="R13" i="1"/>
  <c r="U13" i="1" s="1"/>
  <c r="M13" i="1"/>
  <c r="P13" i="1" s="1"/>
  <c r="H13" i="1"/>
  <c r="K13" i="1" s="1"/>
  <c r="W12" i="1"/>
  <c r="Z12" i="1" s="1"/>
  <c r="R12" i="1"/>
  <c r="U12" i="1" s="1"/>
  <c r="M12" i="1"/>
  <c r="P12" i="1" s="1"/>
  <c r="H12" i="1"/>
  <c r="K12" i="1" s="1"/>
  <c r="W11" i="1"/>
  <c r="Z11" i="1" s="1"/>
  <c r="R11" i="1"/>
  <c r="U11" i="1" s="1"/>
  <c r="M11" i="1"/>
  <c r="P11" i="1" s="1"/>
  <c r="H11" i="1"/>
  <c r="K11" i="1" s="1"/>
  <c r="W10" i="1"/>
  <c r="Z10" i="1" s="1"/>
  <c r="R10" i="1"/>
  <c r="U10" i="1" s="1"/>
  <c r="M10" i="1"/>
  <c r="P10" i="1" s="1"/>
  <c r="H10" i="1"/>
  <c r="K10" i="1" s="1"/>
  <c r="W9" i="1"/>
  <c r="Z9" i="1" s="1"/>
  <c r="R9" i="1"/>
  <c r="U9" i="1" s="1"/>
  <c r="M9" i="1"/>
  <c r="H9" i="1"/>
  <c r="K9" i="1" s="1"/>
  <c r="W8" i="1"/>
  <c r="Z8" i="1" s="1"/>
  <c r="R8" i="1"/>
  <c r="U8" i="1" s="1"/>
  <c r="M8" i="1"/>
  <c r="P8" i="1" s="1"/>
  <c r="H8" i="1"/>
  <c r="W7" i="1"/>
  <c r="Z7" i="1" s="1"/>
  <c r="R7" i="1"/>
  <c r="U7" i="1" s="1"/>
  <c r="M7" i="1"/>
  <c r="H7" i="1"/>
  <c r="K7" i="1" s="1"/>
  <c r="W6" i="1"/>
  <c r="Z6" i="1" s="1"/>
  <c r="R6" i="1"/>
  <c r="U6" i="1" s="1"/>
  <c r="M6" i="1"/>
  <c r="P6" i="1" s="1"/>
  <c r="H6" i="1"/>
  <c r="K6" i="1" s="1"/>
  <c r="W5" i="1"/>
  <c r="Z5" i="1" s="1"/>
  <c r="R5" i="1"/>
  <c r="U5" i="1" s="1"/>
  <c r="M5" i="1"/>
  <c r="P5" i="1" s="1"/>
  <c r="H5" i="1"/>
  <c r="Y165" i="1" l="1"/>
  <c r="S106" i="1"/>
  <c r="M199" i="1"/>
  <c r="P199" i="1" s="1"/>
  <c r="R188" i="1"/>
  <c r="U188" i="1" s="1"/>
  <c r="Z200" i="1"/>
  <c r="X106" i="1"/>
  <c r="X165" i="1"/>
  <c r="X166" i="1" s="1"/>
  <c r="U165" i="1"/>
  <c r="Y166" i="1"/>
  <c r="W188" i="1"/>
  <c r="Z188" i="1" s="1"/>
  <c r="Z178" i="1"/>
  <c r="R103" i="1"/>
  <c r="W199" i="1"/>
  <c r="Z199" i="1" s="1"/>
  <c r="Z198" i="1"/>
  <c r="Z201" i="1" s="1"/>
  <c r="T106" i="1"/>
  <c r="T166" i="1" s="1"/>
  <c r="U179" i="1"/>
  <c r="Z179" i="1"/>
  <c r="R210" i="1"/>
  <c r="U210" i="1" s="1"/>
  <c r="Z189" i="1"/>
  <c r="W177" i="1"/>
  <c r="Z177" i="1" s="1"/>
  <c r="M210" i="1"/>
  <c r="P210" i="1" s="1"/>
  <c r="H210" i="1"/>
  <c r="K210" i="1" s="1"/>
  <c r="H199" i="1"/>
  <c r="K199" i="1" s="1"/>
  <c r="U209" i="1"/>
  <c r="U212" i="1" s="1"/>
  <c r="P209" i="1"/>
  <c r="K209" i="1"/>
  <c r="P198" i="1"/>
  <c r="R177" i="1"/>
  <c r="U177" i="1" s="1"/>
  <c r="P176" i="1"/>
  <c r="M177" i="1"/>
  <c r="P177" i="1" s="1"/>
  <c r="Z187" i="1"/>
  <c r="Z190" i="1" s="1"/>
  <c r="U187" i="1"/>
  <c r="U190" i="1" s="1"/>
  <c r="H188" i="1"/>
  <c r="K188" i="1" s="1"/>
  <c r="S166" i="1"/>
  <c r="M103" i="1"/>
  <c r="P103" i="1" s="1"/>
  <c r="M75" i="1"/>
  <c r="P75" i="1" s="1"/>
  <c r="F9" i="1"/>
  <c r="W75" i="1"/>
  <c r="Z75" i="1" s="1"/>
  <c r="F42" i="1"/>
  <c r="H75" i="1"/>
  <c r="D103" i="1"/>
  <c r="F94" i="1"/>
  <c r="H103" i="1"/>
  <c r="K103" i="1" s="1"/>
  <c r="F6" i="1"/>
  <c r="F10" i="1"/>
  <c r="F21" i="1"/>
  <c r="F35" i="1"/>
  <c r="F41" i="1"/>
  <c r="F7" i="1"/>
  <c r="P9" i="1"/>
  <c r="F11" i="1"/>
  <c r="F12" i="1"/>
  <c r="F44" i="1"/>
  <c r="F59" i="1"/>
  <c r="K59" i="1"/>
  <c r="F8" i="1"/>
  <c r="K8" i="1"/>
  <c r="F15" i="1"/>
  <c r="F18" i="1"/>
  <c r="F38" i="1"/>
  <c r="F16" i="1"/>
  <c r="E75" i="1"/>
  <c r="F5" i="1"/>
  <c r="K5" i="1"/>
  <c r="K94" i="1"/>
  <c r="R75" i="1"/>
  <c r="U75" i="1" s="1"/>
  <c r="F112" i="1"/>
  <c r="F115" i="1"/>
  <c r="F61" i="1"/>
  <c r="E103" i="1"/>
  <c r="E106" i="1" s="1"/>
  <c r="F98" i="1"/>
  <c r="E138" i="1"/>
  <c r="F121" i="1"/>
  <c r="F87" i="1"/>
  <c r="F93" i="1"/>
  <c r="F145" i="1"/>
  <c r="F127" i="1"/>
  <c r="F148" i="1"/>
  <c r="F153" i="1"/>
  <c r="F124" i="1"/>
  <c r="F130" i="1"/>
  <c r="K153" i="1"/>
  <c r="F118" i="1"/>
  <c r="F160" i="1"/>
  <c r="F133" i="1"/>
  <c r="F122" i="1"/>
  <c r="F144" i="1"/>
  <c r="O165" i="1"/>
  <c r="F22" i="1"/>
  <c r="K22" i="1"/>
  <c r="F36" i="1"/>
  <c r="P7" i="1"/>
  <c r="K16" i="1"/>
  <c r="F32" i="1"/>
  <c r="F13" i="1"/>
  <c r="F14" i="1"/>
  <c r="F20" i="1"/>
  <c r="F25" i="1"/>
  <c r="K25" i="1"/>
  <c r="F65" i="1"/>
  <c r="K65" i="1"/>
  <c r="F28" i="1"/>
  <c r="K28" i="1"/>
  <c r="F23" i="1"/>
  <c r="F31" i="1"/>
  <c r="F47" i="1"/>
  <c r="F24" i="1"/>
  <c r="F19" i="1"/>
  <c r="K19" i="1"/>
  <c r="F26" i="1"/>
  <c r="F34" i="1"/>
  <c r="F27" i="1"/>
  <c r="F17" i="1"/>
  <c r="F29" i="1"/>
  <c r="D75" i="1"/>
  <c r="F30" i="1"/>
  <c r="F68" i="1"/>
  <c r="P68" i="1"/>
  <c r="F56" i="1"/>
  <c r="P42" i="1"/>
  <c r="F43" i="1"/>
  <c r="K43" i="1"/>
  <c r="F48" i="1"/>
  <c r="P48" i="1"/>
  <c r="F50" i="1"/>
  <c r="F33" i="1"/>
  <c r="F51" i="1"/>
  <c r="P51" i="1"/>
  <c r="P58" i="1"/>
  <c r="F58" i="1"/>
  <c r="F39" i="1"/>
  <c r="F55" i="1"/>
  <c r="P55" i="1"/>
  <c r="F66" i="1"/>
  <c r="P72" i="1"/>
  <c r="F72" i="1"/>
  <c r="F40" i="1"/>
  <c r="K40" i="1"/>
  <c r="F64" i="1"/>
  <c r="F46" i="1"/>
  <c r="K46" i="1"/>
  <c r="F73" i="1"/>
  <c r="F37" i="1"/>
  <c r="K37" i="1"/>
  <c r="F49" i="1"/>
  <c r="K49" i="1"/>
  <c r="F54" i="1"/>
  <c r="F70" i="1"/>
  <c r="F45" i="1"/>
  <c r="F52" i="1"/>
  <c r="K52" i="1"/>
  <c r="F57" i="1"/>
  <c r="F62" i="1"/>
  <c r="F63" i="1"/>
  <c r="K63" i="1"/>
  <c r="F53" i="1"/>
  <c r="F60" i="1"/>
  <c r="K79" i="1"/>
  <c r="F67" i="1"/>
  <c r="F74" i="1"/>
  <c r="F81" i="1"/>
  <c r="F80" i="1"/>
  <c r="F71" i="1"/>
  <c r="K71" i="1"/>
  <c r="K75" i="1"/>
  <c r="F69" i="1"/>
  <c r="F92" i="1"/>
  <c r="P92" i="1"/>
  <c r="O106" i="1"/>
  <c r="F88" i="1"/>
  <c r="F102" i="1"/>
  <c r="F99" i="1"/>
  <c r="W103" i="1"/>
  <c r="W106" i="1" s="1"/>
  <c r="F84" i="1"/>
  <c r="F89" i="1"/>
  <c r="P89" i="1"/>
  <c r="Z112" i="1"/>
  <c r="W138" i="1"/>
  <c r="Z138" i="1" s="1"/>
  <c r="F85" i="1"/>
  <c r="F90" i="1"/>
  <c r="F95" i="1"/>
  <c r="P95" i="1"/>
  <c r="F120" i="1"/>
  <c r="K120" i="1"/>
  <c r="F96" i="1"/>
  <c r="N106" i="1"/>
  <c r="F91" i="1"/>
  <c r="F97" i="1"/>
  <c r="F82" i="1"/>
  <c r="F83" i="1"/>
  <c r="F100" i="1"/>
  <c r="F101" i="1"/>
  <c r="J106" i="1"/>
  <c r="J166" i="1" s="1"/>
  <c r="K82" i="1"/>
  <c r="F86" i="1"/>
  <c r="P86" i="1"/>
  <c r="K100" i="1"/>
  <c r="F111" i="1"/>
  <c r="F135" i="1"/>
  <c r="F116" i="1"/>
  <c r="F128" i="1"/>
  <c r="K99" i="1"/>
  <c r="K137" i="1"/>
  <c r="F137" i="1"/>
  <c r="I106" i="1"/>
  <c r="F156" i="1"/>
  <c r="F157" i="1"/>
  <c r="F113" i="1"/>
  <c r="F117" i="1"/>
  <c r="F126" i="1"/>
  <c r="F151" i="1"/>
  <c r="F125" i="1"/>
  <c r="H138" i="1"/>
  <c r="K138" i="1" s="1"/>
  <c r="F114" i="1"/>
  <c r="K110" i="1"/>
  <c r="K114" i="1"/>
  <c r="F123" i="1"/>
  <c r="K155" i="1"/>
  <c r="F155" i="1"/>
  <c r="F119" i="1"/>
  <c r="F132" i="1"/>
  <c r="F136" i="1"/>
  <c r="K144" i="1"/>
  <c r="P154" i="1"/>
  <c r="F154" i="1"/>
  <c r="M138" i="1"/>
  <c r="P138" i="1" s="1"/>
  <c r="F131" i="1"/>
  <c r="K133" i="1"/>
  <c r="F129" i="1"/>
  <c r="F134" i="1"/>
  <c r="R162" i="1"/>
  <c r="R138" i="1"/>
  <c r="U138" i="1" s="1"/>
  <c r="D162" i="1"/>
  <c r="F150" i="1"/>
  <c r="D138" i="1"/>
  <c r="U110" i="1"/>
  <c r="E162" i="1"/>
  <c r="E165" i="1" s="1"/>
  <c r="E166" i="1" s="1"/>
  <c r="W162" i="1"/>
  <c r="Z142" i="1"/>
  <c r="K150" i="1"/>
  <c r="N165" i="1"/>
  <c r="H162" i="1"/>
  <c r="F147" i="1"/>
  <c r="K143" i="1"/>
  <c r="F143" i="1"/>
  <c r="F158" i="1"/>
  <c r="F159" i="1"/>
  <c r="F146" i="1"/>
  <c r="F149" i="1"/>
  <c r="F152" i="1"/>
  <c r="F161" i="1"/>
  <c r="M162" i="1"/>
  <c r="K161" i="1"/>
  <c r="I165" i="1"/>
  <c r="U211" i="1" l="1"/>
  <c r="U189" i="1"/>
  <c r="U178" i="1"/>
  <c r="R165" i="1"/>
  <c r="U167" i="1"/>
  <c r="U166" i="1"/>
  <c r="U180" i="1" s="1"/>
  <c r="U213" i="1"/>
  <c r="W165" i="1"/>
  <c r="W166" i="1" s="1"/>
  <c r="Z166" i="1" s="1"/>
  <c r="Z167" i="1"/>
  <c r="U103" i="1"/>
  <c r="R106" i="1"/>
  <c r="H106" i="1"/>
  <c r="K106" i="1" s="1"/>
  <c r="M106" i="1"/>
  <c r="P106" i="1" s="1"/>
  <c r="N166" i="1"/>
  <c r="O166" i="1"/>
  <c r="I166" i="1"/>
  <c r="Z162" i="1"/>
  <c r="Z103" i="1"/>
  <c r="F110" i="1"/>
  <c r="C138" i="1"/>
  <c r="F138" i="1" s="1"/>
  <c r="D165" i="1"/>
  <c r="P162" i="1"/>
  <c r="M165" i="1"/>
  <c r="P167" i="1"/>
  <c r="H165" i="1"/>
  <c r="K162" i="1"/>
  <c r="K167" i="1"/>
  <c r="C103" i="1"/>
  <c r="F79" i="1"/>
  <c r="U162" i="1"/>
  <c r="D106" i="1"/>
  <c r="C162" i="1"/>
  <c r="F142" i="1"/>
  <c r="C75" i="1"/>
  <c r="F75" i="1" s="1"/>
  <c r="P179" i="1" l="1"/>
  <c r="P201" i="1"/>
  <c r="P212" i="1"/>
  <c r="K201" i="1"/>
  <c r="K190" i="1"/>
  <c r="K212" i="1"/>
  <c r="H166" i="1"/>
  <c r="K166" i="1" s="1"/>
  <c r="U191" i="1"/>
  <c r="Z180" i="1"/>
  <c r="R166" i="1"/>
  <c r="Z202" i="1"/>
  <c r="Z191" i="1"/>
  <c r="K165" i="1"/>
  <c r="M166" i="1"/>
  <c r="P166" i="1" s="1"/>
  <c r="P165" i="1"/>
  <c r="F165" i="1"/>
  <c r="D166" i="1"/>
  <c r="C165" i="1"/>
  <c r="F162" i="1"/>
  <c r="F167" i="1"/>
  <c r="C106" i="1"/>
  <c r="F106" i="1" s="1"/>
  <c r="F103" i="1"/>
  <c r="P202" i="1" l="1"/>
  <c r="P213" i="1"/>
  <c r="P180" i="1"/>
  <c r="K211" i="1"/>
  <c r="K200" i="1"/>
  <c r="K189" i="1"/>
  <c r="K202" i="1"/>
  <c r="K213" i="1"/>
  <c r="K191" i="1"/>
  <c r="P178" i="1"/>
  <c r="P211" i="1"/>
  <c r="P200" i="1"/>
  <c r="C166" i="1"/>
  <c r="F166" i="1" s="1"/>
</calcChain>
</file>

<file path=xl/sharedStrings.xml><?xml version="1.0" encoding="utf-8"?>
<sst xmlns="http://schemas.openxmlformats.org/spreadsheetml/2006/main" count="301" uniqueCount="183">
  <si>
    <t>Players</t>
  </si>
  <si>
    <t>Townsfolk Roles</t>
  </si>
  <si>
    <t>Acrobat</t>
  </si>
  <si>
    <t>Alsaahir</t>
  </si>
  <si>
    <t>Alchemist</t>
  </si>
  <si>
    <t>Amnesiac</t>
  </si>
  <si>
    <t>Artist</t>
  </si>
  <si>
    <t>Atheist</t>
  </si>
  <si>
    <t>Balloonist</t>
  </si>
  <si>
    <t>Banshee</t>
  </si>
  <si>
    <t>Bounty Hunter</t>
  </si>
  <si>
    <t>Cannibal</t>
  </si>
  <si>
    <t>Chamber</t>
  </si>
  <si>
    <t>Chef</t>
  </si>
  <si>
    <t>Choirboy</t>
  </si>
  <si>
    <t>Clockmaker</t>
  </si>
  <si>
    <t>Courtier</t>
  </si>
  <si>
    <t>Cult Leader</t>
  </si>
  <si>
    <t>Dreamer</t>
  </si>
  <si>
    <t>Empath</t>
  </si>
  <si>
    <t>Engineer</t>
  </si>
  <si>
    <t>Exorcist</t>
  </si>
  <si>
    <t>Farmer</t>
  </si>
  <si>
    <t>Fisherman</t>
  </si>
  <si>
    <t>Flowergirl</t>
  </si>
  <si>
    <t>Fool</t>
  </si>
  <si>
    <t>Gambler</t>
  </si>
  <si>
    <t>General</t>
  </si>
  <si>
    <t>Gossip</t>
  </si>
  <si>
    <t>Grandmother</t>
  </si>
  <si>
    <t>Fortune Teller</t>
  </si>
  <si>
    <t>High Priestess</t>
  </si>
  <si>
    <t>Huntsman</t>
  </si>
  <si>
    <t>Innkeeper</t>
  </si>
  <si>
    <t>Investigator</t>
  </si>
  <si>
    <t>Juggler</t>
  </si>
  <si>
    <t>King</t>
  </si>
  <si>
    <t>Knight</t>
  </si>
  <si>
    <t>Librarian</t>
  </si>
  <si>
    <t>Lycanthrope</t>
  </si>
  <si>
    <t>Magician</t>
  </si>
  <si>
    <t>Mathmetician</t>
  </si>
  <si>
    <t>Mayor</t>
  </si>
  <si>
    <t>Minstrel</t>
  </si>
  <si>
    <t>Monk</t>
  </si>
  <si>
    <t>Nightwatchman</t>
  </si>
  <si>
    <t>Noble</t>
  </si>
  <si>
    <t>Oracle</t>
  </si>
  <si>
    <t>Pacifist</t>
  </si>
  <si>
    <t>Philosopher</t>
  </si>
  <si>
    <t>Pixie</t>
  </si>
  <si>
    <t>Poppy Grower</t>
  </si>
  <si>
    <t>Preacher</t>
  </si>
  <si>
    <t>Professor</t>
  </si>
  <si>
    <t>Ravenkeeper</t>
  </si>
  <si>
    <t>Sage</t>
  </si>
  <si>
    <t>Sailor</t>
  </si>
  <si>
    <t>Savant</t>
  </si>
  <si>
    <t>Seamstress</t>
  </si>
  <si>
    <t>Shugenja</t>
  </si>
  <si>
    <t>Slayer</t>
  </si>
  <si>
    <t>Snake Charmer</t>
  </si>
  <si>
    <t>Soldier</t>
  </si>
  <si>
    <t>Steward</t>
  </si>
  <si>
    <t>Tea Lady</t>
  </si>
  <si>
    <t>Town Crier</t>
  </si>
  <si>
    <t>Undertaker</t>
  </si>
  <si>
    <t>Village Idiot</t>
  </si>
  <si>
    <t>Virgin</t>
  </si>
  <si>
    <t>Washerwoman</t>
  </si>
  <si>
    <t>Total</t>
  </si>
  <si>
    <t>Played</t>
  </si>
  <si>
    <t>Won</t>
  </si>
  <si>
    <t xml:space="preserve">Played </t>
  </si>
  <si>
    <t>%</t>
  </si>
  <si>
    <t>Outsider Roles</t>
  </si>
  <si>
    <t>Barber</t>
  </si>
  <si>
    <t>Butler</t>
  </si>
  <si>
    <t>Damsel</t>
  </si>
  <si>
    <t>Drunk</t>
  </si>
  <si>
    <t>Golem</t>
  </si>
  <si>
    <t>Goon</t>
  </si>
  <si>
    <t>Hatter</t>
  </si>
  <si>
    <t>Heretic</t>
  </si>
  <si>
    <t>Klutz</t>
  </si>
  <si>
    <t>Lunatic</t>
  </si>
  <si>
    <t>Moonchild</t>
  </si>
  <si>
    <t>Mutant</t>
  </si>
  <si>
    <t>Ogre</t>
  </si>
  <si>
    <t>Plague Doctor</t>
  </si>
  <si>
    <t>Politician</t>
  </si>
  <si>
    <t>Puzzlemaster</t>
  </si>
  <si>
    <t>Recluse</t>
  </si>
  <si>
    <t>Saint</t>
  </si>
  <si>
    <t>Snitch</t>
  </si>
  <si>
    <t>Sweetheart</t>
  </si>
  <si>
    <t>Tinker</t>
  </si>
  <si>
    <t>Zealot</t>
  </si>
  <si>
    <t>Minion Roles</t>
  </si>
  <si>
    <t>Assassin</t>
  </si>
  <si>
    <t>Baron</t>
  </si>
  <si>
    <t>Boffin</t>
  </si>
  <si>
    <t>Boomdandy</t>
  </si>
  <si>
    <t>Cerenovus</t>
  </si>
  <si>
    <t>Devil's Advocate</t>
  </si>
  <si>
    <t>Evil Twin</t>
  </si>
  <si>
    <t>Fear Monger</t>
  </si>
  <si>
    <t>Goblin</t>
  </si>
  <si>
    <t>Godfather</t>
  </si>
  <si>
    <t>Harpy</t>
  </si>
  <si>
    <t>Marionette</t>
  </si>
  <si>
    <t>Mastermind</t>
  </si>
  <si>
    <t>Mezepheles</t>
  </si>
  <si>
    <t>Organ Grinder</t>
  </si>
  <si>
    <t>Pit-Hag</t>
  </si>
  <si>
    <t>Poisoner</t>
  </si>
  <si>
    <t>Psychopath</t>
  </si>
  <si>
    <t>Scarlet Woman</t>
  </si>
  <si>
    <t>Spy</t>
  </si>
  <si>
    <t>Summoner</t>
  </si>
  <si>
    <t>Vizier</t>
  </si>
  <si>
    <t>Widow</t>
  </si>
  <si>
    <t>Witch</t>
  </si>
  <si>
    <t>Average Good Win%</t>
  </si>
  <si>
    <t>Demon Roles</t>
  </si>
  <si>
    <t>Al-Hadikhia</t>
  </si>
  <si>
    <t>Fang Gu</t>
  </si>
  <si>
    <t>Imp</t>
  </si>
  <si>
    <t>Kazali</t>
  </si>
  <si>
    <t>Legion</t>
  </si>
  <si>
    <t>Leviathan</t>
  </si>
  <si>
    <t>Lil' Monsta</t>
  </si>
  <si>
    <t>Lleech</t>
  </si>
  <si>
    <t>Lord of Typhon</t>
  </si>
  <si>
    <t>No Dashii</t>
  </si>
  <si>
    <t>Ojo</t>
  </si>
  <si>
    <t>Po</t>
  </si>
  <si>
    <t>Pukka</t>
  </si>
  <si>
    <t>Riot</t>
  </si>
  <si>
    <t>Shabaloth</t>
  </si>
  <si>
    <t>Vigormortis</t>
  </si>
  <si>
    <t>Vortox</t>
  </si>
  <si>
    <t>Yaggababble</t>
  </si>
  <si>
    <t>Zombuul</t>
  </si>
  <si>
    <t>Total Average Good Win%</t>
  </si>
  <si>
    <t>Total Average Evil Win%</t>
  </si>
  <si>
    <t>Average Evil Win%</t>
  </si>
  <si>
    <t>Lost</t>
  </si>
  <si>
    <t>Total Average win%</t>
  </si>
  <si>
    <t>Total Played</t>
  </si>
  <si>
    <t>Homebrew Townsfolk</t>
  </si>
  <si>
    <t>Homebrew Outsider</t>
  </si>
  <si>
    <t>Homebrew Minion</t>
  </si>
  <si>
    <t>Homebrew Demon</t>
  </si>
  <si>
    <t>In-Game (for lil monsta etc)</t>
  </si>
  <si>
    <t>Xaan</t>
  </si>
  <si>
    <t>Wizard</t>
  </si>
  <si>
    <t>Princess</t>
  </si>
  <si>
    <t>Hermit</t>
  </si>
  <si>
    <t>Wraith</t>
  </si>
  <si>
    <t>Average win%</t>
  </si>
  <si>
    <t>With on good</t>
  </si>
  <si>
    <t>With on evil when they are your demon</t>
  </si>
  <si>
    <t>With on evil when you are both minions</t>
  </si>
  <si>
    <t>With on evil when they are your minion</t>
  </si>
  <si>
    <t>Total on evil team together</t>
  </si>
  <si>
    <t>Change in evil compared to default</t>
  </si>
  <si>
    <t>Change in good compared to default</t>
  </si>
  <si>
    <t>Total with them</t>
  </si>
  <si>
    <t>Change total</t>
  </si>
  <si>
    <t>Template</t>
  </si>
  <si>
    <t>end</t>
  </si>
  <si>
    <t>roleend</t>
  </si>
  <si>
    <t>Townsfolk Total</t>
  </si>
  <si>
    <t>Outsider Total</t>
  </si>
  <si>
    <t>Minion Total</t>
  </si>
  <si>
    <t>Good Averages</t>
  </si>
  <si>
    <t>Total Averages</t>
  </si>
  <si>
    <t>Evil Averages</t>
  </si>
  <si>
    <t>Usernames</t>
  </si>
  <si>
    <t>templateuser</t>
  </si>
  <si>
    <t>xx_template_xx</t>
  </si>
  <si>
    <t>Demon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</si>
</sst>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1" fillId="12" borderId="0" xfId="0" applyFont="1" applyFill="1"/>
    <xf numFmtId="0" fontId="1" fillId="13" borderId="0" xfId="0" applyFont="1" applyFill="1"/>
    <xf numFmtId="0" fontId="0" fillId="13" borderId="0" xfId="0" applyFill="1"/>
    <xf numFmtId="0" fontId="0" fillId="12" borderId="0" xfId="0" applyFill="1"/>
    <xf numFmtId="9" fontId="0" fillId="10" borderId="0" xfId="0" applyNumberFormat="1" applyFill="1"/>
    <xf numFmtId="0" fontId="0" fillId="10" borderId="1" xfId="0" applyFill="1" applyBorder="1"/>
    <xf numFmtId="0" fontId="0" fillId="4" borderId="1" xfId="0" applyFill="1" applyBorder="1"/>
    <xf numFmtId="0" fontId="0" fillId="10" borderId="2" xfId="0" applyFill="1" applyBorder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9" fontId="0" fillId="15" borderId="0" xfId="0" applyNumberFormat="1" applyFill="1"/>
    <xf numFmtId="9" fontId="0" fillId="17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A5E5A-9AF3-4435-B5F4-E9654445F5CB}">
  <dimension ref="A1:AA214"/>
  <sheetViews>
    <sheetView tabSelected="1" zoomScaleNormal="100" workbookViewId="0">
      <pane xSplit="1" ySplit="4" topLeftCell="B125" activePane="bottomRight" state="frozen"/>
      <selection pane="topRight" activeCell="B1" sqref="B1"/>
      <selection pane="bottomLeft" activeCell="A5" sqref="A5"/>
      <selection pane="bottomRight" activeCell="A170" sqref="A170"/>
    </sheetView>
  </sheetViews>
  <sheetFormatPr defaultRowHeight="15" x14ac:dyDescent="0.25"/>
  <cols>
    <col min="1" max="1" width="33.7109375" customWidth="1"/>
    <col min="2" max="2" width="22.42578125" customWidth="1"/>
    <col min="3" max="6" width="15.28515625" customWidth="1"/>
    <col min="7" max="7" width="18.140625" customWidth="1"/>
    <col min="9" max="9" width="10" bestFit="1" customWidth="1"/>
    <col min="11" max="11" width="8.85546875" customWidth="1"/>
    <col min="12" max="12" width="18.7109375" customWidth="1"/>
    <col min="17" max="17" width="18.28515625" customWidth="1"/>
    <col min="22" max="22" width="17.7109375" customWidth="1"/>
    <col min="27" max="27" width="18.7109375" customWidth="1"/>
    <col min="32" max="32" width="18.28515625" customWidth="1"/>
    <col min="37" max="37" width="18.28515625" customWidth="1"/>
    <col min="42" max="42" width="18.42578125" customWidth="1"/>
    <col min="47" max="47" width="18.7109375" customWidth="1"/>
    <col min="52" max="52" width="18.7109375" customWidth="1"/>
    <col min="57" max="57" width="18.42578125" customWidth="1"/>
    <col min="62" max="62" width="16.7109375" customWidth="1"/>
    <col min="67" max="67" width="18.140625" customWidth="1"/>
    <col min="72" max="72" width="18" customWidth="1"/>
    <col min="77" max="77" width="19" customWidth="1"/>
    <col min="82" max="82" width="18.85546875" customWidth="1"/>
    <col min="87" max="87" width="18.85546875" customWidth="1"/>
    <col min="88" max="91" width="9.140625" customWidth="1"/>
    <col min="92" max="92" width="18.42578125" customWidth="1"/>
    <col min="93" max="96" width="9.140625" customWidth="1"/>
    <col min="97" max="97" width="18.85546875" customWidth="1"/>
    <col min="102" max="102" width="18.28515625" customWidth="1"/>
    <col min="103" max="106" width="9.140625" customWidth="1"/>
    <col min="107" max="107" width="17.7109375" customWidth="1"/>
    <col min="112" max="112" width="17.42578125" customWidth="1"/>
    <col min="117" max="117" width="18" customWidth="1"/>
    <col min="122" max="122" width="18.5703125" customWidth="1"/>
    <col min="127" max="127" width="18" customWidth="1"/>
    <col min="132" max="132" width="17.85546875" customWidth="1"/>
    <col min="137" max="137" width="18.7109375" customWidth="1"/>
    <col min="142" max="142" width="18" customWidth="1"/>
    <col min="147" max="147" width="17.7109375" customWidth="1"/>
    <col min="152" max="152" width="17.7109375" customWidth="1"/>
    <col min="157" max="157" width="17.7109375" customWidth="1"/>
    <col min="162" max="162" width="18.42578125" customWidth="1"/>
    <col min="167" max="167" width="18.140625" customWidth="1"/>
    <col min="172" max="172" width="18.140625" customWidth="1"/>
    <col min="177" max="177" width="18.140625" customWidth="1"/>
    <col min="182" max="182" width="19.5703125" customWidth="1"/>
  </cols>
  <sheetData>
    <row r="1" spans="1:27" x14ac:dyDescent="0.25">
      <c r="A1" s="4" t="s">
        <v>0</v>
      </c>
      <c r="B1" s="4"/>
      <c r="C1" s="4"/>
      <c r="D1" s="4" t="s">
        <v>70</v>
      </c>
      <c r="E1" s="4"/>
      <c r="F1" s="4"/>
      <c r="G1" s="4"/>
      <c r="H1" s="4"/>
      <c r="I1" s="4" t="s">
        <v>170</v>
      </c>
      <c r="J1" s="4"/>
      <c r="K1" s="4"/>
      <c r="L1" s="4"/>
      <c r="M1" s="4"/>
      <c r="N1" s="4" t="s">
        <v>170</v>
      </c>
      <c r="O1" s="4"/>
      <c r="P1" s="4"/>
      <c r="Q1" s="4"/>
      <c r="R1" s="4"/>
      <c r="S1" s="4" t="s">
        <v>170</v>
      </c>
      <c r="T1" s="4"/>
      <c r="U1" s="4"/>
      <c r="V1" s="4"/>
      <c r="W1" s="4"/>
      <c r="X1" s="4" t="s">
        <v>154</v>
      </c>
      <c r="Y1" s="4"/>
      <c r="Z1" s="4"/>
      <c r="AA1" s="3" t="s">
        <v>171</v>
      </c>
    </row>
    <row r="2" spans="1:27" x14ac:dyDescent="0.25">
      <c r="A2" s="4" t="s">
        <v>179</v>
      </c>
      <c r="B2" s="4"/>
      <c r="C2" s="4"/>
      <c r="D2" s="4"/>
      <c r="E2" s="4"/>
      <c r="F2" s="4"/>
      <c r="G2" s="4"/>
      <c r="H2" s="4"/>
      <c r="I2" s="4" t="s">
        <v>180</v>
      </c>
      <c r="J2" s="4"/>
      <c r="K2" s="4"/>
      <c r="L2" s="4"/>
      <c r="M2" s="4"/>
      <c r="N2" s="4" t="s">
        <v>181</v>
      </c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3"/>
    </row>
    <row r="3" spans="1:27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x14ac:dyDescent="0.25">
      <c r="A4" s="1" t="s">
        <v>1</v>
      </c>
      <c r="B4" s="2"/>
      <c r="C4" s="1" t="s">
        <v>71</v>
      </c>
      <c r="D4" s="1" t="s">
        <v>72</v>
      </c>
      <c r="E4" s="1" t="s">
        <v>147</v>
      </c>
      <c r="F4" s="1" t="s">
        <v>74</v>
      </c>
      <c r="G4" s="2"/>
      <c r="H4" s="1" t="s">
        <v>71</v>
      </c>
      <c r="I4" s="1" t="s">
        <v>72</v>
      </c>
      <c r="J4" s="1" t="s">
        <v>147</v>
      </c>
      <c r="K4" s="1" t="s">
        <v>74</v>
      </c>
      <c r="L4" s="2"/>
      <c r="M4" s="1" t="s">
        <v>71</v>
      </c>
      <c r="N4" s="1" t="s">
        <v>72</v>
      </c>
      <c r="O4" s="1" t="s">
        <v>147</v>
      </c>
      <c r="P4" s="1" t="s">
        <v>74</v>
      </c>
      <c r="Q4" s="2"/>
      <c r="R4" s="1" t="s">
        <v>71</v>
      </c>
      <c r="S4" s="1" t="s">
        <v>72</v>
      </c>
      <c r="T4" s="1" t="s">
        <v>147</v>
      </c>
      <c r="U4" s="1" t="s">
        <v>74</v>
      </c>
      <c r="V4" s="2"/>
      <c r="W4" s="1" t="s">
        <v>71</v>
      </c>
      <c r="X4" s="1" t="s">
        <v>72</v>
      </c>
      <c r="Y4" s="1" t="s">
        <v>147</v>
      </c>
      <c r="Z4" s="1" t="s">
        <v>74</v>
      </c>
      <c r="AA4" s="3"/>
    </row>
    <row r="5" spans="1:27" x14ac:dyDescent="0.25">
      <c r="A5" s="1" t="s">
        <v>2</v>
      </c>
      <c r="B5" s="2"/>
      <c r="C5" s="1">
        <f>SUM(D5,E5)</f>
        <v>0</v>
      </c>
      <c r="D5" s="1">
        <f>SUM(I5,N5,S5,X5)</f>
        <v>0</v>
      </c>
      <c r="E5" s="1">
        <f>SUM(J5,O5,T5,Y5)</f>
        <v>0</v>
      </c>
      <c r="F5" s="1" t="str">
        <f t="shared" ref="F5:F36" si="0">IF(C5,ROUND(D5/C5*100,2),0) &amp; "%"</f>
        <v>0%</v>
      </c>
      <c r="G5" s="2"/>
      <c r="H5" s="1">
        <f t="shared" ref="H5:H36" si="1">SUM(I5,J5)</f>
        <v>0</v>
      </c>
      <c r="I5" s="1">
        <v>0</v>
      </c>
      <c r="J5" s="1">
        <v>0</v>
      </c>
      <c r="K5" s="1" t="str">
        <f t="shared" ref="K5:K36" si="2">IF(H5,ROUND(I5/H5*100,2),0) &amp; "%"</f>
        <v>0%</v>
      </c>
      <c r="L5" s="2"/>
      <c r="M5" s="1">
        <f t="shared" ref="M5:M36" si="3">SUM(N5,O5)</f>
        <v>0</v>
      </c>
      <c r="N5" s="1">
        <v>0</v>
      </c>
      <c r="O5" s="1">
        <v>0</v>
      </c>
      <c r="P5" s="1" t="str">
        <f t="shared" ref="P5:P36" si="4">IF(M5,ROUND(N5/M5*100,2),0) &amp; "%"</f>
        <v>0%</v>
      </c>
      <c r="Q5" s="2"/>
      <c r="R5" s="1">
        <f t="shared" ref="R5:R36" si="5">SUM(S5,T5)</f>
        <v>0</v>
      </c>
      <c r="S5" s="1">
        <v>0</v>
      </c>
      <c r="T5" s="1">
        <v>0</v>
      </c>
      <c r="U5" s="1" t="str">
        <f t="shared" ref="U5:U36" si="6">IF(R5,ROUND(S5/R5*100,2),0) &amp; "%"</f>
        <v>0%</v>
      </c>
      <c r="V5" s="2"/>
      <c r="W5" s="1">
        <f t="shared" ref="W5:W36" si="7">SUM(X5,Y5)</f>
        <v>0</v>
      </c>
      <c r="X5" s="1">
        <v>0</v>
      </c>
      <c r="Y5" s="1">
        <v>0</v>
      </c>
      <c r="Z5" s="1" t="str">
        <f t="shared" ref="Z5:Z36" si="8">IF(W5,ROUND(X5/W5*100,2),0) &amp; "%"</f>
        <v>0%</v>
      </c>
      <c r="AA5" s="3"/>
    </row>
    <row r="6" spans="1:27" x14ac:dyDescent="0.25">
      <c r="A6" s="1" t="s">
        <v>4</v>
      </c>
      <c r="B6" s="2"/>
      <c r="C6" s="1">
        <f t="shared" ref="C6:C69" si="9">SUM(D6,E6)</f>
        <v>0</v>
      </c>
      <c r="D6" s="1">
        <f t="shared" ref="D6:D69" si="10">SUM(I6,N6,S6,X6)</f>
        <v>0</v>
      </c>
      <c r="E6" s="1">
        <f t="shared" ref="E6:E69" si="11">SUM(J6,O6,T6,Y6)</f>
        <v>0</v>
      </c>
      <c r="F6" s="1" t="str">
        <f t="shared" si="0"/>
        <v>0%</v>
      </c>
      <c r="G6" s="2"/>
      <c r="H6" s="1">
        <f t="shared" si="1"/>
        <v>0</v>
      </c>
      <c r="I6" s="1">
        <v>0</v>
      </c>
      <c r="J6" s="1">
        <v>0</v>
      </c>
      <c r="K6" s="1" t="str">
        <f t="shared" si="2"/>
        <v>0%</v>
      </c>
      <c r="L6" s="2"/>
      <c r="M6" s="1">
        <f t="shared" si="3"/>
        <v>0</v>
      </c>
      <c r="N6" s="1">
        <v>0</v>
      </c>
      <c r="O6" s="1">
        <v>0</v>
      </c>
      <c r="P6" s="1" t="str">
        <f t="shared" si="4"/>
        <v>0%</v>
      </c>
      <c r="Q6" s="2"/>
      <c r="R6" s="1">
        <f t="shared" si="5"/>
        <v>0</v>
      </c>
      <c r="S6" s="1">
        <v>0</v>
      </c>
      <c r="T6" s="1">
        <v>0</v>
      </c>
      <c r="U6" s="1" t="str">
        <f t="shared" si="6"/>
        <v>0%</v>
      </c>
      <c r="V6" s="2"/>
      <c r="W6" s="1">
        <f t="shared" si="7"/>
        <v>0</v>
      </c>
      <c r="X6" s="1">
        <v>0</v>
      </c>
      <c r="Y6" s="1">
        <v>0</v>
      </c>
      <c r="Z6" s="1" t="str">
        <f t="shared" si="8"/>
        <v>0%</v>
      </c>
      <c r="AA6" s="3"/>
    </row>
    <row r="7" spans="1:27" x14ac:dyDescent="0.25">
      <c r="A7" s="1" t="s">
        <v>3</v>
      </c>
      <c r="B7" s="2"/>
      <c r="C7" s="1">
        <f t="shared" si="9"/>
        <v>0</v>
      </c>
      <c r="D7" s="1">
        <f t="shared" si="10"/>
        <v>0</v>
      </c>
      <c r="E7" s="1">
        <f t="shared" si="11"/>
        <v>0</v>
      </c>
      <c r="F7" s="1" t="str">
        <f t="shared" si="0"/>
        <v>0%</v>
      </c>
      <c r="G7" s="2"/>
      <c r="H7" s="1">
        <f t="shared" si="1"/>
        <v>0</v>
      </c>
      <c r="I7" s="1">
        <v>0</v>
      </c>
      <c r="J7" s="1">
        <v>0</v>
      </c>
      <c r="K7" s="1" t="str">
        <f t="shared" si="2"/>
        <v>0%</v>
      </c>
      <c r="L7" s="2"/>
      <c r="M7" s="1">
        <f t="shared" si="3"/>
        <v>0</v>
      </c>
      <c r="N7" s="1">
        <v>0</v>
      </c>
      <c r="O7" s="1">
        <v>0</v>
      </c>
      <c r="P7" s="1" t="str">
        <f t="shared" si="4"/>
        <v>0%</v>
      </c>
      <c r="Q7" s="2"/>
      <c r="R7" s="1">
        <f t="shared" si="5"/>
        <v>0</v>
      </c>
      <c r="S7" s="1">
        <v>0</v>
      </c>
      <c r="T7" s="1">
        <v>0</v>
      </c>
      <c r="U7" s="1" t="str">
        <f t="shared" si="6"/>
        <v>0%</v>
      </c>
      <c r="V7" s="2"/>
      <c r="W7" s="1">
        <f t="shared" si="7"/>
        <v>0</v>
      </c>
      <c r="X7" s="1">
        <v>0</v>
      </c>
      <c r="Y7" s="1">
        <v>0</v>
      </c>
      <c r="Z7" s="1" t="str">
        <f t="shared" si="8"/>
        <v>0%</v>
      </c>
      <c r="AA7" s="3"/>
    </row>
    <row r="8" spans="1:27" x14ac:dyDescent="0.25">
      <c r="A8" s="1" t="s">
        <v>5</v>
      </c>
      <c r="B8" s="2"/>
      <c r="C8" s="1">
        <f t="shared" si="9"/>
        <v>0</v>
      </c>
      <c r="D8" s="1">
        <f t="shared" si="10"/>
        <v>0</v>
      </c>
      <c r="E8" s="1">
        <f t="shared" si="11"/>
        <v>0</v>
      </c>
      <c r="F8" s="1" t="str">
        <f t="shared" si="0"/>
        <v>0%</v>
      </c>
      <c r="G8" s="2"/>
      <c r="H8" s="1">
        <f t="shared" si="1"/>
        <v>0</v>
      </c>
      <c r="I8" s="1">
        <v>0</v>
      </c>
      <c r="J8" s="1">
        <v>0</v>
      </c>
      <c r="K8" s="1" t="str">
        <f t="shared" si="2"/>
        <v>0%</v>
      </c>
      <c r="L8" s="2"/>
      <c r="M8" s="1">
        <f t="shared" si="3"/>
        <v>0</v>
      </c>
      <c r="N8" s="1">
        <v>0</v>
      </c>
      <c r="O8" s="1">
        <v>0</v>
      </c>
      <c r="P8" s="1" t="str">
        <f t="shared" si="4"/>
        <v>0%</v>
      </c>
      <c r="Q8" s="2"/>
      <c r="R8" s="1">
        <f t="shared" si="5"/>
        <v>0</v>
      </c>
      <c r="S8" s="1">
        <v>0</v>
      </c>
      <c r="T8" s="1">
        <v>0</v>
      </c>
      <c r="U8" s="1" t="str">
        <f t="shared" si="6"/>
        <v>0%</v>
      </c>
      <c r="V8" s="2"/>
      <c r="W8" s="1">
        <f t="shared" si="7"/>
        <v>0</v>
      </c>
      <c r="X8" s="1">
        <v>0</v>
      </c>
      <c r="Y8" s="1">
        <v>0</v>
      </c>
      <c r="Z8" s="1" t="str">
        <f t="shared" si="8"/>
        <v>0%</v>
      </c>
      <c r="AA8" s="3"/>
    </row>
    <row r="9" spans="1:27" x14ac:dyDescent="0.25">
      <c r="A9" s="1" t="s">
        <v>6</v>
      </c>
      <c r="B9" s="2"/>
      <c r="C9" s="1">
        <f t="shared" si="9"/>
        <v>0</v>
      </c>
      <c r="D9" s="1">
        <f t="shared" si="10"/>
        <v>0</v>
      </c>
      <c r="E9" s="1">
        <f t="shared" si="11"/>
        <v>0</v>
      </c>
      <c r="F9" s="1" t="str">
        <f t="shared" si="0"/>
        <v>0%</v>
      </c>
      <c r="G9" s="2"/>
      <c r="H9" s="1">
        <f t="shared" si="1"/>
        <v>0</v>
      </c>
      <c r="I9" s="1">
        <v>0</v>
      </c>
      <c r="J9" s="1">
        <v>0</v>
      </c>
      <c r="K9" s="1" t="str">
        <f t="shared" si="2"/>
        <v>0%</v>
      </c>
      <c r="L9" s="2"/>
      <c r="M9" s="1">
        <f t="shared" si="3"/>
        <v>0</v>
      </c>
      <c r="N9" s="1">
        <v>0</v>
      </c>
      <c r="O9" s="1">
        <v>0</v>
      </c>
      <c r="P9" s="1" t="str">
        <f t="shared" si="4"/>
        <v>0%</v>
      </c>
      <c r="Q9" s="2"/>
      <c r="R9" s="1">
        <f t="shared" si="5"/>
        <v>0</v>
      </c>
      <c r="S9" s="1">
        <v>0</v>
      </c>
      <c r="T9" s="1">
        <v>0</v>
      </c>
      <c r="U9" s="1" t="str">
        <f t="shared" si="6"/>
        <v>0%</v>
      </c>
      <c r="V9" s="2"/>
      <c r="W9" s="1">
        <f t="shared" si="7"/>
        <v>0</v>
      </c>
      <c r="X9" s="1">
        <v>0</v>
      </c>
      <c r="Y9" s="1">
        <v>0</v>
      </c>
      <c r="Z9" s="1" t="str">
        <f t="shared" si="8"/>
        <v>0%</v>
      </c>
      <c r="AA9" s="3"/>
    </row>
    <row r="10" spans="1:27" x14ac:dyDescent="0.25">
      <c r="A10" s="1" t="s">
        <v>7</v>
      </c>
      <c r="B10" s="2"/>
      <c r="C10" s="1">
        <f t="shared" si="9"/>
        <v>0</v>
      </c>
      <c r="D10" s="1">
        <f t="shared" si="10"/>
        <v>0</v>
      </c>
      <c r="E10" s="1">
        <f t="shared" si="11"/>
        <v>0</v>
      </c>
      <c r="F10" s="1" t="str">
        <f t="shared" si="0"/>
        <v>0%</v>
      </c>
      <c r="G10" s="2"/>
      <c r="H10" s="1">
        <f t="shared" si="1"/>
        <v>0</v>
      </c>
      <c r="I10" s="1">
        <v>0</v>
      </c>
      <c r="J10" s="1">
        <v>0</v>
      </c>
      <c r="K10" s="1" t="str">
        <f t="shared" si="2"/>
        <v>0%</v>
      </c>
      <c r="L10" s="2"/>
      <c r="M10" s="1">
        <f t="shared" si="3"/>
        <v>0</v>
      </c>
      <c r="N10" s="1">
        <v>0</v>
      </c>
      <c r="O10" s="1">
        <v>0</v>
      </c>
      <c r="P10" s="1" t="str">
        <f t="shared" si="4"/>
        <v>0%</v>
      </c>
      <c r="Q10" s="2"/>
      <c r="R10" s="1">
        <f t="shared" si="5"/>
        <v>0</v>
      </c>
      <c r="S10" s="1">
        <v>0</v>
      </c>
      <c r="T10" s="1">
        <v>0</v>
      </c>
      <c r="U10" s="1" t="str">
        <f t="shared" si="6"/>
        <v>0%</v>
      </c>
      <c r="V10" s="2"/>
      <c r="W10" s="1">
        <f t="shared" si="7"/>
        <v>0</v>
      </c>
      <c r="X10" s="1">
        <v>0</v>
      </c>
      <c r="Y10" s="1">
        <v>0</v>
      </c>
      <c r="Z10" s="1" t="str">
        <f t="shared" si="8"/>
        <v>0%</v>
      </c>
      <c r="AA10" s="3"/>
    </row>
    <row r="11" spans="1:27" x14ac:dyDescent="0.25">
      <c r="A11" s="1" t="s">
        <v>8</v>
      </c>
      <c r="B11" s="2"/>
      <c r="C11" s="1">
        <f t="shared" si="9"/>
        <v>0</v>
      </c>
      <c r="D11" s="1">
        <f t="shared" si="10"/>
        <v>0</v>
      </c>
      <c r="E11" s="1">
        <f t="shared" si="11"/>
        <v>0</v>
      </c>
      <c r="F11" s="1" t="str">
        <f t="shared" si="0"/>
        <v>0%</v>
      </c>
      <c r="G11" s="2"/>
      <c r="H11" s="1">
        <f t="shared" si="1"/>
        <v>0</v>
      </c>
      <c r="I11" s="1">
        <v>0</v>
      </c>
      <c r="J11" s="1">
        <v>0</v>
      </c>
      <c r="K11" s="1" t="str">
        <f t="shared" si="2"/>
        <v>0%</v>
      </c>
      <c r="L11" s="2"/>
      <c r="M11" s="1">
        <f t="shared" si="3"/>
        <v>0</v>
      </c>
      <c r="N11" s="1">
        <v>0</v>
      </c>
      <c r="O11" s="1">
        <v>0</v>
      </c>
      <c r="P11" s="1" t="str">
        <f t="shared" si="4"/>
        <v>0%</v>
      </c>
      <c r="Q11" s="2"/>
      <c r="R11" s="1">
        <f t="shared" si="5"/>
        <v>0</v>
      </c>
      <c r="S11" s="1">
        <v>0</v>
      </c>
      <c r="T11" s="1">
        <v>0</v>
      </c>
      <c r="U11" s="1" t="str">
        <f t="shared" si="6"/>
        <v>0%</v>
      </c>
      <c r="V11" s="2"/>
      <c r="W11" s="1">
        <f t="shared" si="7"/>
        <v>0</v>
      </c>
      <c r="X11" s="1">
        <v>0</v>
      </c>
      <c r="Y11" s="1">
        <v>0</v>
      </c>
      <c r="Z11" s="1" t="str">
        <f t="shared" si="8"/>
        <v>0%</v>
      </c>
      <c r="AA11" s="3"/>
    </row>
    <row r="12" spans="1:27" x14ac:dyDescent="0.25">
      <c r="A12" s="1" t="s">
        <v>9</v>
      </c>
      <c r="B12" s="2"/>
      <c r="C12" s="1">
        <f t="shared" si="9"/>
        <v>0</v>
      </c>
      <c r="D12" s="1">
        <f t="shared" si="10"/>
        <v>0</v>
      </c>
      <c r="E12" s="1">
        <f t="shared" si="11"/>
        <v>0</v>
      </c>
      <c r="F12" s="1" t="str">
        <f t="shared" si="0"/>
        <v>0%</v>
      </c>
      <c r="G12" s="2"/>
      <c r="H12" s="1">
        <f t="shared" si="1"/>
        <v>0</v>
      </c>
      <c r="I12" s="1">
        <v>0</v>
      </c>
      <c r="J12" s="1">
        <v>0</v>
      </c>
      <c r="K12" s="1" t="str">
        <f t="shared" si="2"/>
        <v>0%</v>
      </c>
      <c r="L12" s="2"/>
      <c r="M12" s="1">
        <f t="shared" si="3"/>
        <v>0</v>
      </c>
      <c r="N12" s="1">
        <v>0</v>
      </c>
      <c r="O12" s="1">
        <v>0</v>
      </c>
      <c r="P12" s="1" t="str">
        <f t="shared" si="4"/>
        <v>0%</v>
      </c>
      <c r="Q12" s="2"/>
      <c r="R12" s="1">
        <f t="shared" si="5"/>
        <v>0</v>
      </c>
      <c r="S12" s="1">
        <v>0</v>
      </c>
      <c r="T12" s="1">
        <v>0</v>
      </c>
      <c r="U12" s="1" t="str">
        <f t="shared" si="6"/>
        <v>0%</v>
      </c>
      <c r="V12" s="2"/>
      <c r="W12" s="1">
        <f t="shared" si="7"/>
        <v>0</v>
      </c>
      <c r="X12" s="1">
        <v>0</v>
      </c>
      <c r="Y12" s="1">
        <v>0</v>
      </c>
      <c r="Z12" s="1" t="str">
        <f t="shared" si="8"/>
        <v>0%</v>
      </c>
      <c r="AA12" s="3"/>
    </row>
    <row r="13" spans="1:27" x14ac:dyDescent="0.25">
      <c r="A13" s="1" t="s">
        <v>10</v>
      </c>
      <c r="B13" s="2"/>
      <c r="C13" s="1">
        <f t="shared" si="9"/>
        <v>0</v>
      </c>
      <c r="D13" s="1">
        <f t="shared" si="10"/>
        <v>0</v>
      </c>
      <c r="E13" s="1">
        <f t="shared" si="11"/>
        <v>0</v>
      </c>
      <c r="F13" s="1" t="str">
        <f t="shared" si="0"/>
        <v>0%</v>
      </c>
      <c r="G13" s="2"/>
      <c r="H13" s="1">
        <f t="shared" si="1"/>
        <v>0</v>
      </c>
      <c r="I13" s="1">
        <v>0</v>
      </c>
      <c r="J13" s="1">
        <v>0</v>
      </c>
      <c r="K13" s="1" t="str">
        <f t="shared" si="2"/>
        <v>0%</v>
      </c>
      <c r="L13" s="2"/>
      <c r="M13" s="1">
        <f t="shared" si="3"/>
        <v>0</v>
      </c>
      <c r="N13" s="1">
        <v>0</v>
      </c>
      <c r="O13" s="1">
        <v>0</v>
      </c>
      <c r="P13" s="1" t="str">
        <f t="shared" si="4"/>
        <v>0%</v>
      </c>
      <c r="Q13" s="2"/>
      <c r="R13" s="1">
        <f t="shared" si="5"/>
        <v>0</v>
      </c>
      <c r="S13" s="1">
        <v>0</v>
      </c>
      <c r="T13" s="1">
        <v>0</v>
      </c>
      <c r="U13" s="1" t="str">
        <f t="shared" si="6"/>
        <v>0%</v>
      </c>
      <c r="V13" s="2"/>
      <c r="W13" s="1">
        <f t="shared" si="7"/>
        <v>0</v>
      </c>
      <c r="X13" s="1">
        <v>0</v>
      </c>
      <c r="Y13" s="1">
        <v>0</v>
      </c>
      <c r="Z13" s="1" t="str">
        <f t="shared" si="8"/>
        <v>0%</v>
      </c>
      <c r="AA13" s="3"/>
    </row>
    <row r="14" spans="1:27" x14ac:dyDescent="0.25">
      <c r="A14" s="1" t="s">
        <v>11</v>
      </c>
      <c r="B14" s="2"/>
      <c r="C14" s="1">
        <f t="shared" si="9"/>
        <v>0</v>
      </c>
      <c r="D14" s="1">
        <f t="shared" si="10"/>
        <v>0</v>
      </c>
      <c r="E14" s="1">
        <f t="shared" si="11"/>
        <v>0</v>
      </c>
      <c r="F14" s="1" t="str">
        <f t="shared" si="0"/>
        <v>0%</v>
      </c>
      <c r="G14" s="2"/>
      <c r="H14" s="1">
        <f t="shared" si="1"/>
        <v>0</v>
      </c>
      <c r="I14" s="1">
        <v>0</v>
      </c>
      <c r="J14" s="1">
        <v>0</v>
      </c>
      <c r="K14" s="1" t="str">
        <f t="shared" si="2"/>
        <v>0%</v>
      </c>
      <c r="L14" s="2"/>
      <c r="M14" s="1">
        <f t="shared" si="3"/>
        <v>0</v>
      </c>
      <c r="N14" s="1">
        <v>0</v>
      </c>
      <c r="O14" s="1">
        <v>0</v>
      </c>
      <c r="P14" s="1" t="str">
        <f t="shared" si="4"/>
        <v>0%</v>
      </c>
      <c r="Q14" s="2"/>
      <c r="R14" s="1">
        <f t="shared" si="5"/>
        <v>0</v>
      </c>
      <c r="S14" s="1">
        <v>0</v>
      </c>
      <c r="T14" s="1">
        <v>0</v>
      </c>
      <c r="U14" s="1" t="str">
        <f t="shared" si="6"/>
        <v>0%</v>
      </c>
      <c r="V14" s="2"/>
      <c r="W14" s="1">
        <f t="shared" si="7"/>
        <v>0</v>
      </c>
      <c r="X14" s="1">
        <v>0</v>
      </c>
      <c r="Y14" s="1">
        <v>0</v>
      </c>
      <c r="Z14" s="1" t="str">
        <f t="shared" si="8"/>
        <v>0%</v>
      </c>
      <c r="AA14" s="3"/>
    </row>
    <row r="15" spans="1:27" x14ac:dyDescent="0.25">
      <c r="A15" s="1" t="s">
        <v>12</v>
      </c>
      <c r="B15" s="2"/>
      <c r="C15" s="1">
        <f t="shared" si="9"/>
        <v>0</v>
      </c>
      <c r="D15" s="1">
        <f t="shared" si="10"/>
        <v>0</v>
      </c>
      <c r="E15" s="1">
        <f t="shared" si="11"/>
        <v>0</v>
      </c>
      <c r="F15" s="1" t="str">
        <f t="shared" si="0"/>
        <v>0%</v>
      </c>
      <c r="G15" s="2"/>
      <c r="H15" s="1">
        <f t="shared" si="1"/>
        <v>0</v>
      </c>
      <c r="I15" s="1">
        <v>0</v>
      </c>
      <c r="J15" s="1">
        <v>0</v>
      </c>
      <c r="K15" s="1" t="str">
        <f t="shared" si="2"/>
        <v>0%</v>
      </c>
      <c r="L15" s="2"/>
      <c r="M15" s="1">
        <f t="shared" si="3"/>
        <v>0</v>
      </c>
      <c r="N15" s="1">
        <v>0</v>
      </c>
      <c r="O15" s="1">
        <v>0</v>
      </c>
      <c r="P15" s="1" t="str">
        <f t="shared" si="4"/>
        <v>0%</v>
      </c>
      <c r="Q15" s="2"/>
      <c r="R15" s="1">
        <f t="shared" si="5"/>
        <v>0</v>
      </c>
      <c r="S15" s="1">
        <v>0</v>
      </c>
      <c r="T15" s="1">
        <v>0</v>
      </c>
      <c r="U15" s="1" t="str">
        <f t="shared" si="6"/>
        <v>0%</v>
      </c>
      <c r="V15" s="2"/>
      <c r="W15" s="1">
        <f t="shared" si="7"/>
        <v>0</v>
      </c>
      <c r="X15" s="1">
        <v>0</v>
      </c>
      <c r="Y15" s="1">
        <v>0</v>
      </c>
      <c r="Z15" s="1" t="str">
        <f t="shared" si="8"/>
        <v>0%</v>
      </c>
      <c r="AA15" s="3"/>
    </row>
    <row r="16" spans="1:27" x14ac:dyDescent="0.25">
      <c r="A16" s="1" t="s">
        <v>13</v>
      </c>
      <c r="B16" s="2"/>
      <c r="C16" s="1">
        <f t="shared" si="9"/>
        <v>0</v>
      </c>
      <c r="D16" s="1">
        <f t="shared" si="10"/>
        <v>0</v>
      </c>
      <c r="E16" s="1">
        <f t="shared" si="11"/>
        <v>0</v>
      </c>
      <c r="F16" s="1" t="str">
        <f t="shared" si="0"/>
        <v>0%</v>
      </c>
      <c r="G16" s="2"/>
      <c r="H16" s="1">
        <f t="shared" si="1"/>
        <v>0</v>
      </c>
      <c r="I16" s="1">
        <v>0</v>
      </c>
      <c r="J16" s="1">
        <v>0</v>
      </c>
      <c r="K16" s="1" t="str">
        <f t="shared" si="2"/>
        <v>0%</v>
      </c>
      <c r="L16" s="2"/>
      <c r="M16" s="1">
        <f t="shared" si="3"/>
        <v>0</v>
      </c>
      <c r="N16" s="1">
        <v>0</v>
      </c>
      <c r="O16" s="1">
        <v>0</v>
      </c>
      <c r="P16" s="1" t="str">
        <f t="shared" si="4"/>
        <v>0%</v>
      </c>
      <c r="Q16" s="2"/>
      <c r="R16" s="1">
        <f t="shared" si="5"/>
        <v>0</v>
      </c>
      <c r="S16" s="1">
        <v>0</v>
      </c>
      <c r="T16" s="1">
        <v>0</v>
      </c>
      <c r="U16" s="1" t="str">
        <f t="shared" si="6"/>
        <v>0%</v>
      </c>
      <c r="V16" s="2"/>
      <c r="W16" s="1">
        <f t="shared" si="7"/>
        <v>0</v>
      </c>
      <c r="X16" s="1">
        <v>0</v>
      </c>
      <c r="Y16" s="1">
        <v>0</v>
      </c>
      <c r="Z16" s="1" t="str">
        <f t="shared" si="8"/>
        <v>0%</v>
      </c>
      <c r="AA16" s="3"/>
    </row>
    <row r="17" spans="1:27" x14ac:dyDescent="0.25">
      <c r="A17" s="1" t="s">
        <v>14</v>
      </c>
      <c r="B17" s="2"/>
      <c r="C17" s="1">
        <f t="shared" si="9"/>
        <v>0</v>
      </c>
      <c r="D17" s="1">
        <f t="shared" si="10"/>
        <v>0</v>
      </c>
      <c r="E17" s="1">
        <f t="shared" si="11"/>
        <v>0</v>
      </c>
      <c r="F17" s="1" t="str">
        <f t="shared" si="0"/>
        <v>0%</v>
      </c>
      <c r="G17" s="2"/>
      <c r="H17" s="1">
        <f t="shared" si="1"/>
        <v>0</v>
      </c>
      <c r="I17" s="1">
        <v>0</v>
      </c>
      <c r="J17" s="1">
        <v>0</v>
      </c>
      <c r="K17" s="1" t="str">
        <f t="shared" si="2"/>
        <v>0%</v>
      </c>
      <c r="L17" s="2"/>
      <c r="M17" s="1">
        <f t="shared" si="3"/>
        <v>0</v>
      </c>
      <c r="N17" s="1">
        <v>0</v>
      </c>
      <c r="O17" s="1">
        <v>0</v>
      </c>
      <c r="P17" s="1" t="str">
        <f t="shared" si="4"/>
        <v>0%</v>
      </c>
      <c r="Q17" s="2"/>
      <c r="R17" s="1">
        <f t="shared" si="5"/>
        <v>0</v>
      </c>
      <c r="S17" s="1">
        <v>0</v>
      </c>
      <c r="T17" s="1">
        <v>0</v>
      </c>
      <c r="U17" s="1" t="str">
        <f t="shared" si="6"/>
        <v>0%</v>
      </c>
      <c r="V17" s="2"/>
      <c r="W17" s="1">
        <f t="shared" si="7"/>
        <v>0</v>
      </c>
      <c r="X17" s="1">
        <v>0</v>
      </c>
      <c r="Y17" s="1">
        <v>0</v>
      </c>
      <c r="Z17" s="1" t="str">
        <f t="shared" si="8"/>
        <v>0%</v>
      </c>
      <c r="AA17" s="3"/>
    </row>
    <row r="18" spans="1:27" x14ac:dyDescent="0.25">
      <c r="A18" s="1" t="s">
        <v>15</v>
      </c>
      <c r="B18" s="2"/>
      <c r="C18" s="1">
        <f t="shared" si="9"/>
        <v>0</v>
      </c>
      <c r="D18" s="1">
        <f t="shared" si="10"/>
        <v>0</v>
      </c>
      <c r="E18" s="1">
        <f t="shared" si="11"/>
        <v>0</v>
      </c>
      <c r="F18" s="1" t="str">
        <f t="shared" si="0"/>
        <v>0%</v>
      </c>
      <c r="G18" s="2"/>
      <c r="H18" s="1">
        <f t="shared" si="1"/>
        <v>0</v>
      </c>
      <c r="I18" s="1">
        <v>0</v>
      </c>
      <c r="J18" s="1">
        <v>0</v>
      </c>
      <c r="K18" s="1" t="str">
        <f t="shared" si="2"/>
        <v>0%</v>
      </c>
      <c r="L18" s="2"/>
      <c r="M18" s="1">
        <f t="shared" si="3"/>
        <v>0</v>
      </c>
      <c r="N18" s="1">
        <v>0</v>
      </c>
      <c r="O18" s="1">
        <v>0</v>
      </c>
      <c r="P18" s="1" t="str">
        <f t="shared" si="4"/>
        <v>0%</v>
      </c>
      <c r="Q18" s="2"/>
      <c r="R18" s="1">
        <f t="shared" si="5"/>
        <v>0</v>
      </c>
      <c r="S18" s="1">
        <v>0</v>
      </c>
      <c r="T18" s="1">
        <v>0</v>
      </c>
      <c r="U18" s="1" t="str">
        <f t="shared" si="6"/>
        <v>0%</v>
      </c>
      <c r="V18" s="2"/>
      <c r="W18" s="1">
        <f t="shared" si="7"/>
        <v>0</v>
      </c>
      <c r="X18" s="1">
        <v>0</v>
      </c>
      <c r="Y18" s="1">
        <v>0</v>
      </c>
      <c r="Z18" s="1" t="str">
        <f t="shared" si="8"/>
        <v>0%</v>
      </c>
      <c r="AA18" s="3"/>
    </row>
    <row r="19" spans="1:27" x14ac:dyDescent="0.25">
      <c r="A19" s="1" t="s">
        <v>16</v>
      </c>
      <c r="B19" s="2"/>
      <c r="C19" s="1">
        <f t="shared" si="9"/>
        <v>0</v>
      </c>
      <c r="D19" s="1">
        <f t="shared" si="10"/>
        <v>0</v>
      </c>
      <c r="E19" s="1">
        <f t="shared" si="11"/>
        <v>0</v>
      </c>
      <c r="F19" s="1" t="str">
        <f t="shared" si="0"/>
        <v>0%</v>
      </c>
      <c r="G19" s="2"/>
      <c r="H19" s="1">
        <f t="shared" si="1"/>
        <v>0</v>
      </c>
      <c r="I19" s="1">
        <v>0</v>
      </c>
      <c r="J19" s="1">
        <v>0</v>
      </c>
      <c r="K19" s="1" t="str">
        <f t="shared" si="2"/>
        <v>0%</v>
      </c>
      <c r="L19" s="2"/>
      <c r="M19" s="1">
        <f t="shared" si="3"/>
        <v>0</v>
      </c>
      <c r="N19" s="1">
        <v>0</v>
      </c>
      <c r="O19" s="1">
        <v>0</v>
      </c>
      <c r="P19" s="1" t="str">
        <f t="shared" si="4"/>
        <v>0%</v>
      </c>
      <c r="Q19" s="2"/>
      <c r="R19" s="1">
        <f t="shared" si="5"/>
        <v>0</v>
      </c>
      <c r="S19" s="1">
        <v>0</v>
      </c>
      <c r="T19" s="1">
        <v>0</v>
      </c>
      <c r="U19" s="1" t="str">
        <f t="shared" si="6"/>
        <v>0%</v>
      </c>
      <c r="V19" s="2"/>
      <c r="W19" s="1">
        <f t="shared" si="7"/>
        <v>0</v>
      </c>
      <c r="X19" s="1">
        <v>0</v>
      </c>
      <c r="Y19" s="1">
        <v>0</v>
      </c>
      <c r="Z19" s="1" t="str">
        <f t="shared" si="8"/>
        <v>0%</v>
      </c>
      <c r="AA19" s="3"/>
    </row>
    <row r="20" spans="1:27" x14ac:dyDescent="0.25">
      <c r="A20" s="1" t="s">
        <v>17</v>
      </c>
      <c r="B20" s="2"/>
      <c r="C20" s="1">
        <f t="shared" si="9"/>
        <v>0</v>
      </c>
      <c r="D20" s="1">
        <f t="shared" si="10"/>
        <v>0</v>
      </c>
      <c r="E20" s="1">
        <f t="shared" si="11"/>
        <v>0</v>
      </c>
      <c r="F20" s="1" t="str">
        <f t="shared" si="0"/>
        <v>0%</v>
      </c>
      <c r="G20" s="2"/>
      <c r="H20" s="1">
        <f t="shared" si="1"/>
        <v>0</v>
      </c>
      <c r="I20" s="1">
        <v>0</v>
      </c>
      <c r="J20" s="1">
        <v>0</v>
      </c>
      <c r="K20" s="1" t="str">
        <f t="shared" si="2"/>
        <v>0%</v>
      </c>
      <c r="L20" s="2"/>
      <c r="M20" s="1">
        <f t="shared" si="3"/>
        <v>0</v>
      </c>
      <c r="N20" s="1">
        <v>0</v>
      </c>
      <c r="O20" s="1">
        <v>0</v>
      </c>
      <c r="P20" s="1" t="str">
        <f t="shared" si="4"/>
        <v>0%</v>
      </c>
      <c r="Q20" s="2"/>
      <c r="R20" s="1">
        <f t="shared" si="5"/>
        <v>0</v>
      </c>
      <c r="S20" s="1">
        <v>0</v>
      </c>
      <c r="T20" s="1">
        <v>0</v>
      </c>
      <c r="U20" s="1" t="str">
        <f t="shared" si="6"/>
        <v>0%</v>
      </c>
      <c r="V20" s="2"/>
      <c r="W20" s="1">
        <f t="shared" si="7"/>
        <v>0</v>
      </c>
      <c r="X20" s="1">
        <v>0</v>
      </c>
      <c r="Y20" s="1">
        <v>0</v>
      </c>
      <c r="Z20" s="1" t="str">
        <f t="shared" si="8"/>
        <v>0%</v>
      </c>
      <c r="AA20" s="3"/>
    </row>
    <row r="21" spans="1:27" x14ac:dyDescent="0.25">
      <c r="A21" s="1" t="s">
        <v>18</v>
      </c>
      <c r="B21" s="2"/>
      <c r="C21" s="1">
        <f t="shared" si="9"/>
        <v>0</v>
      </c>
      <c r="D21" s="1">
        <f t="shared" si="10"/>
        <v>0</v>
      </c>
      <c r="E21" s="1">
        <f t="shared" si="11"/>
        <v>0</v>
      </c>
      <c r="F21" s="1" t="str">
        <f t="shared" si="0"/>
        <v>0%</v>
      </c>
      <c r="G21" s="2"/>
      <c r="H21" s="1">
        <f t="shared" si="1"/>
        <v>0</v>
      </c>
      <c r="I21" s="1">
        <v>0</v>
      </c>
      <c r="J21" s="1">
        <v>0</v>
      </c>
      <c r="K21" s="1" t="str">
        <f t="shared" si="2"/>
        <v>0%</v>
      </c>
      <c r="L21" s="2"/>
      <c r="M21" s="1">
        <f t="shared" si="3"/>
        <v>0</v>
      </c>
      <c r="N21" s="1">
        <v>0</v>
      </c>
      <c r="O21" s="1">
        <v>0</v>
      </c>
      <c r="P21" s="1" t="str">
        <f t="shared" si="4"/>
        <v>0%</v>
      </c>
      <c r="Q21" s="2"/>
      <c r="R21" s="1">
        <f t="shared" si="5"/>
        <v>0</v>
      </c>
      <c r="S21" s="1">
        <v>0</v>
      </c>
      <c r="T21" s="1">
        <v>0</v>
      </c>
      <c r="U21" s="1" t="str">
        <f t="shared" si="6"/>
        <v>0%</v>
      </c>
      <c r="V21" s="2"/>
      <c r="W21" s="1">
        <f t="shared" si="7"/>
        <v>0</v>
      </c>
      <c r="X21" s="1">
        <v>0</v>
      </c>
      <c r="Y21" s="1">
        <v>0</v>
      </c>
      <c r="Z21" s="1" t="str">
        <f t="shared" si="8"/>
        <v>0%</v>
      </c>
      <c r="AA21" s="3"/>
    </row>
    <row r="22" spans="1:27" x14ac:dyDescent="0.25">
      <c r="A22" s="1" t="s">
        <v>19</v>
      </c>
      <c r="B22" s="2"/>
      <c r="C22" s="1">
        <f t="shared" si="9"/>
        <v>0</v>
      </c>
      <c r="D22" s="1">
        <f t="shared" si="10"/>
        <v>0</v>
      </c>
      <c r="E22" s="1">
        <f t="shared" si="11"/>
        <v>0</v>
      </c>
      <c r="F22" s="1" t="str">
        <f t="shared" si="0"/>
        <v>0%</v>
      </c>
      <c r="G22" s="2"/>
      <c r="H22" s="1">
        <f t="shared" si="1"/>
        <v>0</v>
      </c>
      <c r="I22" s="1">
        <v>0</v>
      </c>
      <c r="J22" s="1">
        <v>0</v>
      </c>
      <c r="K22" s="1" t="str">
        <f t="shared" si="2"/>
        <v>0%</v>
      </c>
      <c r="L22" s="2"/>
      <c r="M22" s="1">
        <f t="shared" si="3"/>
        <v>0</v>
      </c>
      <c r="N22" s="1">
        <v>0</v>
      </c>
      <c r="O22" s="1">
        <v>0</v>
      </c>
      <c r="P22" s="1" t="str">
        <f t="shared" si="4"/>
        <v>0%</v>
      </c>
      <c r="Q22" s="2"/>
      <c r="R22" s="1">
        <f t="shared" si="5"/>
        <v>0</v>
      </c>
      <c r="S22" s="1">
        <v>0</v>
      </c>
      <c r="T22" s="1">
        <v>0</v>
      </c>
      <c r="U22" s="1" t="str">
        <f t="shared" si="6"/>
        <v>0%</v>
      </c>
      <c r="V22" s="2"/>
      <c r="W22" s="1">
        <f t="shared" si="7"/>
        <v>0</v>
      </c>
      <c r="X22" s="1">
        <v>0</v>
      </c>
      <c r="Y22" s="1">
        <v>0</v>
      </c>
      <c r="Z22" s="1" t="str">
        <f t="shared" si="8"/>
        <v>0%</v>
      </c>
      <c r="AA22" s="3"/>
    </row>
    <row r="23" spans="1:27" x14ac:dyDescent="0.25">
      <c r="A23" s="1" t="s">
        <v>20</v>
      </c>
      <c r="B23" s="2"/>
      <c r="C23" s="1">
        <f t="shared" si="9"/>
        <v>0</v>
      </c>
      <c r="D23" s="1">
        <f t="shared" si="10"/>
        <v>0</v>
      </c>
      <c r="E23" s="1">
        <f t="shared" si="11"/>
        <v>0</v>
      </c>
      <c r="F23" s="1" t="str">
        <f t="shared" si="0"/>
        <v>0%</v>
      </c>
      <c r="G23" s="2"/>
      <c r="H23" s="1">
        <f t="shared" si="1"/>
        <v>0</v>
      </c>
      <c r="I23" s="1">
        <v>0</v>
      </c>
      <c r="J23" s="1">
        <v>0</v>
      </c>
      <c r="K23" s="1" t="str">
        <f t="shared" si="2"/>
        <v>0%</v>
      </c>
      <c r="L23" s="2"/>
      <c r="M23" s="1">
        <f t="shared" si="3"/>
        <v>0</v>
      </c>
      <c r="N23" s="1">
        <v>0</v>
      </c>
      <c r="O23" s="1">
        <v>0</v>
      </c>
      <c r="P23" s="1" t="str">
        <f t="shared" si="4"/>
        <v>0%</v>
      </c>
      <c r="Q23" s="2"/>
      <c r="R23" s="1">
        <f t="shared" si="5"/>
        <v>0</v>
      </c>
      <c r="S23" s="1">
        <v>0</v>
      </c>
      <c r="T23" s="1">
        <v>0</v>
      </c>
      <c r="U23" s="1" t="str">
        <f t="shared" si="6"/>
        <v>0%</v>
      </c>
      <c r="V23" s="2"/>
      <c r="W23" s="1">
        <f t="shared" si="7"/>
        <v>0</v>
      </c>
      <c r="X23" s="1">
        <v>0</v>
      </c>
      <c r="Y23" s="1">
        <v>0</v>
      </c>
      <c r="Z23" s="1" t="str">
        <f t="shared" si="8"/>
        <v>0%</v>
      </c>
      <c r="AA23" s="3"/>
    </row>
    <row r="24" spans="1:27" x14ac:dyDescent="0.25">
      <c r="A24" s="1" t="s">
        <v>21</v>
      </c>
      <c r="B24" s="2"/>
      <c r="C24" s="1">
        <f t="shared" si="9"/>
        <v>0</v>
      </c>
      <c r="D24" s="1">
        <f t="shared" si="10"/>
        <v>0</v>
      </c>
      <c r="E24" s="1">
        <f t="shared" si="11"/>
        <v>0</v>
      </c>
      <c r="F24" s="1" t="str">
        <f t="shared" si="0"/>
        <v>0%</v>
      </c>
      <c r="G24" s="2"/>
      <c r="H24" s="1">
        <f t="shared" si="1"/>
        <v>0</v>
      </c>
      <c r="I24" s="1">
        <v>0</v>
      </c>
      <c r="J24" s="1">
        <v>0</v>
      </c>
      <c r="K24" s="1" t="str">
        <f t="shared" si="2"/>
        <v>0%</v>
      </c>
      <c r="L24" s="2"/>
      <c r="M24" s="1">
        <f t="shared" si="3"/>
        <v>0</v>
      </c>
      <c r="N24" s="1">
        <v>0</v>
      </c>
      <c r="O24" s="1">
        <v>0</v>
      </c>
      <c r="P24" s="1" t="str">
        <f t="shared" si="4"/>
        <v>0%</v>
      </c>
      <c r="Q24" s="2"/>
      <c r="R24" s="1">
        <f t="shared" si="5"/>
        <v>0</v>
      </c>
      <c r="S24" s="1">
        <v>0</v>
      </c>
      <c r="T24" s="1">
        <v>0</v>
      </c>
      <c r="U24" s="1" t="str">
        <f t="shared" si="6"/>
        <v>0%</v>
      </c>
      <c r="V24" s="2"/>
      <c r="W24" s="1">
        <f t="shared" si="7"/>
        <v>0</v>
      </c>
      <c r="X24" s="1">
        <v>0</v>
      </c>
      <c r="Y24" s="1">
        <v>0</v>
      </c>
      <c r="Z24" s="1" t="str">
        <f t="shared" si="8"/>
        <v>0%</v>
      </c>
      <c r="AA24" s="3"/>
    </row>
    <row r="25" spans="1:27" x14ac:dyDescent="0.25">
      <c r="A25" s="1" t="s">
        <v>22</v>
      </c>
      <c r="B25" s="2"/>
      <c r="C25" s="1">
        <f t="shared" si="9"/>
        <v>0</v>
      </c>
      <c r="D25" s="1">
        <f t="shared" si="10"/>
        <v>0</v>
      </c>
      <c r="E25" s="1">
        <f t="shared" si="11"/>
        <v>0</v>
      </c>
      <c r="F25" s="1" t="str">
        <f t="shared" si="0"/>
        <v>0%</v>
      </c>
      <c r="G25" s="2"/>
      <c r="H25" s="1">
        <f t="shared" si="1"/>
        <v>0</v>
      </c>
      <c r="I25" s="1">
        <v>0</v>
      </c>
      <c r="J25" s="1">
        <v>0</v>
      </c>
      <c r="K25" s="1" t="str">
        <f t="shared" si="2"/>
        <v>0%</v>
      </c>
      <c r="L25" s="2"/>
      <c r="M25" s="1">
        <f t="shared" si="3"/>
        <v>0</v>
      </c>
      <c r="N25" s="1">
        <v>0</v>
      </c>
      <c r="O25" s="1">
        <v>0</v>
      </c>
      <c r="P25" s="1" t="str">
        <f t="shared" si="4"/>
        <v>0%</v>
      </c>
      <c r="Q25" s="2"/>
      <c r="R25" s="1">
        <f t="shared" si="5"/>
        <v>0</v>
      </c>
      <c r="S25" s="1">
        <v>0</v>
      </c>
      <c r="T25" s="1">
        <v>0</v>
      </c>
      <c r="U25" s="1" t="str">
        <f t="shared" si="6"/>
        <v>0%</v>
      </c>
      <c r="V25" s="2"/>
      <c r="W25" s="1">
        <f t="shared" si="7"/>
        <v>0</v>
      </c>
      <c r="X25" s="1">
        <v>0</v>
      </c>
      <c r="Y25" s="1">
        <v>0</v>
      </c>
      <c r="Z25" s="1" t="str">
        <f t="shared" si="8"/>
        <v>0%</v>
      </c>
      <c r="AA25" s="3"/>
    </row>
    <row r="26" spans="1:27" x14ac:dyDescent="0.25">
      <c r="A26" s="1" t="s">
        <v>23</v>
      </c>
      <c r="B26" s="2"/>
      <c r="C26" s="1">
        <f t="shared" si="9"/>
        <v>0</v>
      </c>
      <c r="D26" s="1">
        <f t="shared" si="10"/>
        <v>0</v>
      </c>
      <c r="E26" s="1">
        <f t="shared" si="11"/>
        <v>0</v>
      </c>
      <c r="F26" s="1" t="str">
        <f t="shared" si="0"/>
        <v>0%</v>
      </c>
      <c r="G26" s="2"/>
      <c r="H26" s="1">
        <f t="shared" si="1"/>
        <v>0</v>
      </c>
      <c r="I26" s="1">
        <v>0</v>
      </c>
      <c r="J26" s="1">
        <v>0</v>
      </c>
      <c r="K26" s="1" t="str">
        <f t="shared" si="2"/>
        <v>0%</v>
      </c>
      <c r="L26" s="2"/>
      <c r="M26" s="1">
        <f t="shared" si="3"/>
        <v>0</v>
      </c>
      <c r="N26" s="1">
        <v>0</v>
      </c>
      <c r="O26" s="1">
        <v>0</v>
      </c>
      <c r="P26" s="1" t="str">
        <f t="shared" si="4"/>
        <v>0%</v>
      </c>
      <c r="Q26" s="2"/>
      <c r="R26" s="1">
        <f t="shared" si="5"/>
        <v>0</v>
      </c>
      <c r="S26" s="1">
        <v>0</v>
      </c>
      <c r="T26" s="1">
        <v>0</v>
      </c>
      <c r="U26" s="1" t="str">
        <f t="shared" si="6"/>
        <v>0%</v>
      </c>
      <c r="V26" s="2"/>
      <c r="W26" s="1">
        <f t="shared" si="7"/>
        <v>0</v>
      </c>
      <c r="X26" s="1">
        <v>0</v>
      </c>
      <c r="Y26" s="1">
        <v>0</v>
      </c>
      <c r="Z26" s="1" t="str">
        <f t="shared" si="8"/>
        <v>0%</v>
      </c>
      <c r="AA26" s="3"/>
    </row>
    <row r="27" spans="1:27" x14ac:dyDescent="0.25">
      <c r="A27" s="1" t="s">
        <v>24</v>
      </c>
      <c r="B27" s="2"/>
      <c r="C27" s="1">
        <f t="shared" si="9"/>
        <v>0</v>
      </c>
      <c r="D27" s="1">
        <f t="shared" si="10"/>
        <v>0</v>
      </c>
      <c r="E27" s="1">
        <f t="shared" si="11"/>
        <v>0</v>
      </c>
      <c r="F27" s="1" t="str">
        <f t="shared" si="0"/>
        <v>0%</v>
      </c>
      <c r="G27" s="2"/>
      <c r="H27" s="1">
        <f t="shared" si="1"/>
        <v>0</v>
      </c>
      <c r="I27" s="1">
        <v>0</v>
      </c>
      <c r="J27" s="1">
        <v>0</v>
      </c>
      <c r="K27" s="1" t="str">
        <f t="shared" si="2"/>
        <v>0%</v>
      </c>
      <c r="L27" s="2"/>
      <c r="M27" s="1">
        <f t="shared" si="3"/>
        <v>0</v>
      </c>
      <c r="N27" s="1">
        <v>0</v>
      </c>
      <c r="O27" s="1">
        <v>0</v>
      </c>
      <c r="P27" s="1" t="str">
        <f t="shared" si="4"/>
        <v>0%</v>
      </c>
      <c r="Q27" s="2"/>
      <c r="R27" s="1">
        <f t="shared" si="5"/>
        <v>0</v>
      </c>
      <c r="S27" s="1">
        <v>0</v>
      </c>
      <c r="T27" s="1">
        <v>0</v>
      </c>
      <c r="U27" s="1" t="str">
        <f t="shared" si="6"/>
        <v>0%</v>
      </c>
      <c r="V27" s="2"/>
      <c r="W27" s="1">
        <f t="shared" si="7"/>
        <v>0</v>
      </c>
      <c r="X27" s="1">
        <v>0</v>
      </c>
      <c r="Y27" s="1">
        <v>0</v>
      </c>
      <c r="Z27" s="1" t="str">
        <f t="shared" si="8"/>
        <v>0%</v>
      </c>
      <c r="AA27" s="3"/>
    </row>
    <row r="28" spans="1:27" x14ac:dyDescent="0.25">
      <c r="A28" s="1" t="s">
        <v>25</v>
      </c>
      <c r="B28" s="2"/>
      <c r="C28" s="1">
        <f t="shared" si="9"/>
        <v>0</v>
      </c>
      <c r="D28" s="1">
        <f t="shared" si="10"/>
        <v>0</v>
      </c>
      <c r="E28" s="1">
        <f t="shared" si="11"/>
        <v>0</v>
      </c>
      <c r="F28" s="1" t="str">
        <f t="shared" si="0"/>
        <v>0%</v>
      </c>
      <c r="G28" s="2"/>
      <c r="H28" s="1">
        <f t="shared" si="1"/>
        <v>0</v>
      </c>
      <c r="I28" s="1">
        <v>0</v>
      </c>
      <c r="J28" s="1">
        <v>0</v>
      </c>
      <c r="K28" s="1" t="str">
        <f t="shared" si="2"/>
        <v>0%</v>
      </c>
      <c r="L28" s="2"/>
      <c r="M28" s="1">
        <f t="shared" si="3"/>
        <v>0</v>
      </c>
      <c r="N28" s="1">
        <v>0</v>
      </c>
      <c r="O28" s="1">
        <v>0</v>
      </c>
      <c r="P28" s="1" t="str">
        <f t="shared" si="4"/>
        <v>0%</v>
      </c>
      <c r="Q28" s="2"/>
      <c r="R28" s="1">
        <f t="shared" si="5"/>
        <v>0</v>
      </c>
      <c r="S28" s="1">
        <v>0</v>
      </c>
      <c r="T28" s="1">
        <v>0</v>
      </c>
      <c r="U28" s="1" t="str">
        <f t="shared" si="6"/>
        <v>0%</v>
      </c>
      <c r="V28" s="2"/>
      <c r="W28" s="1">
        <f t="shared" si="7"/>
        <v>0</v>
      </c>
      <c r="X28" s="1">
        <v>0</v>
      </c>
      <c r="Y28" s="1">
        <v>0</v>
      </c>
      <c r="Z28" s="1" t="str">
        <f t="shared" si="8"/>
        <v>0%</v>
      </c>
      <c r="AA28" s="3"/>
    </row>
    <row r="29" spans="1:27" x14ac:dyDescent="0.25">
      <c r="A29" s="1" t="s">
        <v>30</v>
      </c>
      <c r="B29" s="2"/>
      <c r="C29" s="1">
        <f t="shared" si="9"/>
        <v>0</v>
      </c>
      <c r="D29" s="1">
        <f t="shared" si="10"/>
        <v>0</v>
      </c>
      <c r="E29" s="1">
        <f t="shared" si="11"/>
        <v>0</v>
      </c>
      <c r="F29" s="1" t="str">
        <f t="shared" si="0"/>
        <v>0%</v>
      </c>
      <c r="G29" s="2"/>
      <c r="H29" s="1">
        <f t="shared" si="1"/>
        <v>0</v>
      </c>
      <c r="I29" s="1">
        <v>0</v>
      </c>
      <c r="J29" s="1">
        <v>0</v>
      </c>
      <c r="K29" s="1" t="str">
        <f t="shared" si="2"/>
        <v>0%</v>
      </c>
      <c r="L29" s="2"/>
      <c r="M29" s="1">
        <f t="shared" si="3"/>
        <v>0</v>
      </c>
      <c r="N29" s="1">
        <v>0</v>
      </c>
      <c r="O29" s="1">
        <v>0</v>
      </c>
      <c r="P29" s="1" t="str">
        <f t="shared" si="4"/>
        <v>0%</v>
      </c>
      <c r="Q29" s="2"/>
      <c r="R29" s="1">
        <f t="shared" si="5"/>
        <v>0</v>
      </c>
      <c r="S29" s="1">
        <v>0</v>
      </c>
      <c r="T29" s="1">
        <v>0</v>
      </c>
      <c r="U29" s="1" t="str">
        <f t="shared" si="6"/>
        <v>0%</v>
      </c>
      <c r="V29" s="2"/>
      <c r="W29" s="1">
        <f t="shared" si="7"/>
        <v>0</v>
      </c>
      <c r="X29" s="1">
        <v>0</v>
      </c>
      <c r="Y29" s="1">
        <v>0</v>
      </c>
      <c r="Z29" s="1" t="str">
        <f t="shared" si="8"/>
        <v>0%</v>
      </c>
      <c r="AA29" s="3"/>
    </row>
    <row r="30" spans="1:27" x14ac:dyDescent="0.25">
      <c r="A30" s="1" t="s">
        <v>26</v>
      </c>
      <c r="B30" s="2"/>
      <c r="C30" s="1">
        <f t="shared" si="9"/>
        <v>0</v>
      </c>
      <c r="D30" s="1">
        <f t="shared" si="10"/>
        <v>0</v>
      </c>
      <c r="E30" s="1">
        <f t="shared" si="11"/>
        <v>0</v>
      </c>
      <c r="F30" s="1" t="str">
        <f t="shared" si="0"/>
        <v>0%</v>
      </c>
      <c r="G30" s="2"/>
      <c r="H30" s="1">
        <f t="shared" si="1"/>
        <v>0</v>
      </c>
      <c r="I30" s="1">
        <v>0</v>
      </c>
      <c r="J30" s="1">
        <v>0</v>
      </c>
      <c r="K30" s="1" t="str">
        <f t="shared" si="2"/>
        <v>0%</v>
      </c>
      <c r="L30" s="2"/>
      <c r="M30" s="1">
        <f t="shared" si="3"/>
        <v>0</v>
      </c>
      <c r="N30" s="1">
        <v>0</v>
      </c>
      <c r="O30" s="1">
        <v>0</v>
      </c>
      <c r="P30" s="1" t="str">
        <f t="shared" si="4"/>
        <v>0%</v>
      </c>
      <c r="Q30" s="2"/>
      <c r="R30" s="1">
        <f t="shared" si="5"/>
        <v>0</v>
      </c>
      <c r="S30" s="1">
        <v>0</v>
      </c>
      <c r="T30" s="1">
        <v>0</v>
      </c>
      <c r="U30" s="1" t="str">
        <f t="shared" si="6"/>
        <v>0%</v>
      </c>
      <c r="V30" s="2"/>
      <c r="W30" s="1">
        <f t="shared" si="7"/>
        <v>0</v>
      </c>
      <c r="X30" s="1">
        <v>0</v>
      </c>
      <c r="Y30" s="1">
        <v>0</v>
      </c>
      <c r="Z30" s="1" t="str">
        <f t="shared" si="8"/>
        <v>0%</v>
      </c>
      <c r="AA30" s="3"/>
    </row>
    <row r="31" spans="1:27" x14ac:dyDescent="0.25">
      <c r="A31" s="1" t="s">
        <v>27</v>
      </c>
      <c r="B31" s="2"/>
      <c r="C31" s="1">
        <f t="shared" si="9"/>
        <v>0</v>
      </c>
      <c r="D31" s="1">
        <f t="shared" si="10"/>
        <v>0</v>
      </c>
      <c r="E31" s="1">
        <f t="shared" si="11"/>
        <v>0</v>
      </c>
      <c r="F31" s="1" t="str">
        <f t="shared" si="0"/>
        <v>0%</v>
      </c>
      <c r="G31" s="2"/>
      <c r="H31" s="1">
        <f t="shared" si="1"/>
        <v>0</v>
      </c>
      <c r="I31" s="1">
        <v>0</v>
      </c>
      <c r="J31" s="1">
        <v>0</v>
      </c>
      <c r="K31" s="1" t="str">
        <f t="shared" si="2"/>
        <v>0%</v>
      </c>
      <c r="L31" s="2"/>
      <c r="M31" s="1">
        <f t="shared" si="3"/>
        <v>0</v>
      </c>
      <c r="N31" s="1">
        <v>0</v>
      </c>
      <c r="O31" s="1">
        <v>0</v>
      </c>
      <c r="P31" s="1" t="str">
        <f t="shared" si="4"/>
        <v>0%</v>
      </c>
      <c r="Q31" s="2"/>
      <c r="R31" s="1">
        <f t="shared" si="5"/>
        <v>0</v>
      </c>
      <c r="S31" s="1">
        <v>0</v>
      </c>
      <c r="T31" s="1">
        <v>0</v>
      </c>
      <c r="U31" s="1" t="str">
        <f t="shared" si="6"/>
        <v>0%</v>
      </c>
      <c r="V31" s="2"/>
      <c r="W31" s="1">
        <f t="shared" si="7"/>
        <v>0</v>
      </c>
      <c r="X31" s="1">
        <v>0</v>
      </c>
      <c r="Y31" s="1">
        <v>0</v>
      </c>
      <c r="Z31" s="1" t="str">
        <f t="shared" si="8"/>
        <v>0%</v>
      </c>
      <c r="AA31" s="3"/>
    </row>
    <row r="32" spans="1:27" x14ac:dyDescent="0.25">
      <c r="A32" s="1" t="s">
        <v>28</v>
      </c>
      <c r="B32" s="2"/>
      <c r="C32" s="1">
        <f t="shared" si="9"/>
        <v>0</v>
      </c>
      <c r="D32" s="1">
        <f t="shared" si="10"/>
        <v>0</v>
      </c>
      <c r="E32" s="1">
        <f t="shared" si="11"/>
        <v>0</v>
      </c>
      <c r="F32" s="1" t="str">
        <f t="shared" si="0"/>
        <v>0%</v>
      </c>
      <c r="G32" s="2"/>
      <c r="H32" s="1">
        <f t="shared" si="1"/>
        <v>0</v>
      </c>
      <c r="I32" s="1">
        <v>0</v>
      </c>
      <c r="J32" s="1">
        <v>0</v>
      </c>
      <c r="K32" s="1" t="str">
        <f t="shared" si="2"/>
        <v>0%</v>
      </c>
      <c r="L32" s="2"/>
      <c r="M32" s="1">
        <f t="shared" si="3"/>
        <v>0</v>
      </c>
      <c r="N32" s="1">
        <v>0</v>
      </c>
      <c r="O32" s="1">
        <v>0</v>
      </c>
      <c r="P32" s="1" t="str">
        <f t="shared" si="4"/>
        <v>0%</v>
      </c>
      <c r="Q32" s="2"/>
      <c r="R32" s="1">
        <f t="shared" si="5"/>
        <v>0</v>
      </c>
      <c r="S32" s="1">
        <v>0</v>
      </c>
      <c r="T32" s="1">
        <v>0</v>
      </c>
      <c r="U32" s="1" t="str">
        <f t="shared" si="6"/>
        <v>0%</v>
      </c>
      <c r="V32" s="2"/>
      <c r="W32" s="1">
        <f t="shared" si="7"/>
        <v>0</v>
      </c>
      <c r="X32" s="1">
        <v>0</v>
      </c>
      <c r="Y32" s="1">
        <v>0</v>
      </c>
      <c r="Z32" s="1" t="str">
        <f t="shared" si="8"/>
        <v>0%</v>
      </c>
      <c r="AA32" s="3"/>
    </row>
    <row r="33" spans="1:27" x14ac:dyDescent="0.25">
      <c r="A33" s="1" t="s">
        <v>29</v>
      </c>
      <c r="B33" s="2"/>
      <c r="C33" s="1">
        <f t="shared" si="9"/>
        <v>0</v>
      </c>
      <c r="D33" s="1">
        <f t="shared" si="10"/>
        <v>0</v>
      </c>
      <c r="E33" s="1">
        <f t="shared" si="11"/>
        <v>0</v>
      </c>
      <c r="F33" s="1" t="str">
        <f t="shared" si="0"/>
        <v>0%</v>
      </c>
      <c r="G33" s="2"/>
      <c r="H33" s="1">
        <f t="shared" si="1"/>
        <v>0</v>
      </c>
      <c r="I33" s="1">
        <v>0</v>
      </c>
      <c r="J33" s="1">
        <v>0</v>
      </c>
      <c r="K33" s="1" t="str">
        <f t="shared" si="2"/>
        <v>0%</v>
      </c>
      <c r="L33" s="2"/>
      <c r="M33" s="1">
        <f t="shared" si="3"/>
        <v>0</v>
      </c>
      <c r="N33" s="1">
        <v>0</v>
      </c>
      <c r="O33" s="1">
        <v>0</v>
      </c>
      <c r="P33" s="1" t="str">
        <f t="shared" si="4"/>
        <v>0%</v>
      </c>
      <c r="Q33" s="2"/>
      <c r="R33" s="1">
        <f t="shared" si="5"/>
        <v>0</v>
      </c>
      <c r="S33" s="1">
        <v>0</v>
      </c>
      <c r="T33" s="1">
        <v>0</v>
      </c>
      <c r="U33" s="1" t="str">
        <f t="shared" si="6"/>
        <v>0%</v>
      </c>
      <c r="V33" s="2"/>
      <c r="W33" s="1">
        <f t="shared" si="7"/>
        <v>0</v>
      </c>
      <c r="X33" s="1">
        <v>0</v>
      </c>
      <c r="Y33" s="1">
        <v>0</v>
      </c>
      <c r="Z33" s="1" t="str">
        <f t="shared" si="8"/>
        <v>0%</v>
      </c>
      <c r="AA33" s="3"/>
    </row>
    <row r="34" spans="1:27" x14ac:dyDescent="0.25">
      <c r="A34" s="1" t="s">
        <v>31</v>
      </c>
      <c r="B34" s="2"/>
      <c r="C34" s="1">
        <f t="shared" si="9"/>
        <v>0</v>
      </c>
      <c r="D34" s="1">
        <f t="shared" si="10"/>
        <v>0</v>
      </c>
      <c r="E34" s="1">
        <f t="shared" si="11"/>
        <v>0</v>
      </c>
      <c r="F34" s="1" t="str">
        <f t="shared" si="0"/>
        <v>0%</v>
      </c>
      <c r="G34" s="2"/>
      <c r="H34" s="1">
        <f t="shared" si="1"/>
        <v>0</v>
      </c>
      <c r="I34" s="1">
        <v>0</v>
      </c>
      <c r="J34" s="1">
        <v>0</v>
      </c>
      <c r="K34" s="1" t="str">
        <f t="shared" si="2"/>
        <v>0%</v>
      </c>
      <c r="L34" s="2"/>
      <c r="M34" s="1">
        <f t="shared" si="3"/>
        <v>0</v>
      </c>
      <c r="N34" s="1">
        <v>0</v>
      </c>
      <c r="O34" s="1">
        <v>0</v>
      </c>
      <c r="P34" s="1" t="str">
        <f t="shared" si="4"/>
        <v>0%</v>
      </c>
      <c r="Q34" s="2"/>
      <c r="R34" s="1">
        <f t="shared" si="5"/>
        <v>0</v>
      </c>
      <c r="S34" s="1">
        <v>0</v>
      </c>
      <c r="T34" s="1">
        <v>0</v>
      </c>
      <c r="U34" s="1" t="str">
        <f t="shared" si="6"/>
        <v>0%</v>
      </c>
      <c r="V34" s="2"/>
      <c r="W34" s="1">
        <f t="shared" si="7"/>
        <v>0</v>
      </c>
      <c r="X34" s="1">
        <v>0</v>
      </c>
      <c r="Y34" s="1">
        <v>0</v>
      </c>
      <c r="Z34" s="1" t="str">
        <f t="shared" si="8"/>
        <v>0%</v>
      </c>
      <c r="AA34" s="3"/>
    </row>
    <row r="35" spans="1:27" x14ac:dyDescent="0.25">
      <c r="A35" s="1" t="s">
        <v>32</v>
      </c>
      <c r="B35" s="2"/>
      <c r="C35" s="1">
        <f t="shared" si="9"/>
        <v>0</v>
      </c>
      <c r="D35" s="1">
        <f t="shared" si="10"/>
        <v>0</v>
      </c>
      <c r="E35" s="1">
        <f t="shared" si="11"/>
        <v>0</v>
      </c>
      <c r="F35" s="1" t="str">
        <f t="shared" si="0"/>
        <v>0%</v>
      </c>
      <c r="G35" s="2"/>
      <c r="H35" s="1">
        <f t="shared" si="1"/>
        <v>0</v>
      </c>
      <c r="I35" s="1">
        <v>0</v>
      </c>
      <c r="J35" s="1">
        <v>0</v>
      </c>
      <c r="K35" s="1" t="str">
        <f t="shared" si="2"/>
        <v>0%</v>
      </c>
      <c r="L35" s="2"/>
      <c r="M35" s="1">
        <f t="shared" si="3"/>
        <v>0</v>
      </c>
      <c r="N35" s="1">
        <v>0</v>
      </c>
      <c r="O35" s="1">
        <v>0</v>
      </c>
      <c r="P35" s="1" t="str">
        <f t="shared" si="4"/>
        <v>0%</v>
      </c>
      <c r="Q35" s="2"/>
      <c r="R35" s="1">
        <f t="shared" si="5"/>
        <v>0</v>
      </c>
      <c r="S35" s="1">
        <v>0</v>
      </c>
      <c r="T35" s="1">
        <v>0</v>
      </c>
      <c r="U35" s="1" t="str">
        <f t="shared" si="6"/>
        <v>0%</v>
      </c>
      <c r="V35" s="2"/>
      <c r="W35" s="1">
        <f t="shared" si="7"/>
        <v>0</v>
      </c>
      <c r="X35" s="1">
        <v>0</v>
      </c>
      <c r="Y35" s="1">
        <v>0</v>
      </c>
      <c r="Z35" s="1" t="str">
        <f t="shared" si="8"/>
        <v>0%</v>
      </c>
      <c r="AA35" s="3"/>
    </row>
    <row r="36" spans="1:27" x14ac:dyDescent="0.25">
      <c r="A36" s="1" t="s">
        <v>33</v>
      </c>
      <c r="B36" s="2"/>
      <c r="C36" s="1">
        <f t="shared" si="9"/>
        <v>0</v>
      </c>
      <c r="D36" s="1">
        <f t="shared" si="10"/>
        <v>0</v>
      </c>
      <c r="E36" s="1">
        <f t="shared" si="11"/>
        <v>0</v>
      </c>
      <c r="F36" s="1" t="str">
        <f t="shared" si="0"/>
        <v>0%</v>
      </c>
      <c r="G36" s="2"/>
      <c r="H36" s="1">
        <f t="shared" si="1"/>
        <v>0</v>
      </c>
      <c r="I36" s="1">
        <v>0</v>
      </c>
      <c r="J36" s="1">
        <v>0</v>
      </c>
      <c r="K36" s="1" t="str">
        <f t="shared" si="2"/>
        <v>0%</v>
      </c>
      <c r="L36" s="2"/>
      <c r="M36" s="1">
        <f t="shared" si="3"/>
        <v>0</v>
      </c>
      <c r="N36" s="1">
        <v>0</v>
      </c>
      <c r="O36" s="1">
        <v>0</v>
      </c>
      <c r="P36" s="1" t="str">
        <f t="shared" si="4"/>
        <v>0%</v>
      </c>
      <c r="Q36" s="2"/>
      <c r="R36" s="1">
        <f t="shared" si="5"/>
        <v>0</v>
      </c>
      <c r="S36" s="1">
        <v>0</v>
      </c>
      <c r="T36" s="1">
        <v>0</v>
      </c>
      <c r="U36" s="1" t="str">
        <f t="shared" si="6"/>
        <v>0%</v>
      </c>
      <c r="V36" s="2"/>
      <c r="W36" s="1">
        <f t="shared" si="7"/>
        <v>0</v>
      </c>
      <c r="X36" s="1">
        <v>0</v>
      </c>
      <c r="Y36" s="1">
        <v>0</v>
      </c>
      <c r="Z36" s="1" t="str">
        <f t="shared" si="8"/>
        <v>0%</v>
      </c>
      <c r="AA36" s="3"/>
    </row>
    <row r="37" spans="1:27" x14ac:dyDescent="0.25">
      <c r="A37" s="1" t="s">
        <v>34</v>
      </c>
      <c r="B37" s="2"/>
      <c r="C37" s="1">
        <f t="shared" si="9"/>
        <v>0</v>
      </c>
      <c r="D37" s="1">
        <f t="shared" si="10"/>
        <v>0</v>
      </c>
      <c r="E37" s="1">
        <f t="shared" si="11"/>
        <v>0</v>
      </c>
      <c r="F37" s="1" t="str">
        <f t="shared" ref="F37:F68" si="12">IF(C37,ROUND(D37/C37*100,2),0) &amp; "%"</f>
        <v>0%</v>
      </c>
      <c r="G37" s="2"/>
      <c r="H37" s="1">
        <f t="shared" ref="H37:H68" si="13">SUM(I37,J37)</f>
        <v>0</v>
      </c>
      <c r="I37" s="1">
        <v>0</v>
      </c>
      <c r="J37" s="1">
        <v>0</v>
      </c>
      <c r="K37" s="1" t="str">
        <f t="shared" ref="K37:K68" si="14">IF(H37,ROUND(I37/H37*100,2),0) &amp; "%"</f>
        <v>0%</v>
      </c>
      <c r="L37" s="2"/>
      <c r="M37" s="1">
        <f t="shared" ref="M37:M68" si="15">SUM(N37,O37)</f>
        <v>0</v>
      </c>
      <c r="N37" s="1">
        <v>0</v>
      </c>
      <c r="O37" s="1">
        <v>0</v>
      </c>
      <c r="P37" s="1" t="str">
        <f t="shared" ref="P37:P68" si="16">IF(M37,ROUND(N37/M37*100,2),0) &amp; "%"</f>
        <v>0%</v>
      </c>
      <c r="Q37" s="2"/>
      <c r="R37" s="1">
        <f t="shared" ref="R37:R68" si="17">SUM(S37,T37)</f>
        <v>0</v>
      </c>
      <c r="S37" s="1">
        <v>0</v>
      </c>
      <c r="T37" s="1">
        <v>0</v>
      </c>
      <c r="U37" s="1" t="str">
        <f t="shared" ref="U37:U68" si="18">IF(R37,ROUND(S37/R37*100,2),0) &amp; "%"</f>
        <v>0%</v>
      </c>
      <c r="V37" s="2"/>
      <c r="W37" s="1">
        <f t="shared" ref="W37:W68" si="19">SUM(X37,Y37)</f>
        <v>0</v>
      </c>
      <c r="X37" s="1">
        <v>0</v>
      </c>
      <c r="Y37" s="1">
        <v>0</v>
      </c>
      <c r="Z37" s="1" t="str">
        <f t="shared" ref="Z37:Z68" si="20">IF(W37,ROUND(X37/W37*100,2),0) &amp; "%"</f>
        <v>0%</v>
      </c>
      <c r="AA37" s="3"/>
    </row>
    <row r="38" spans="1:27" x14ac:dyDescent="0.25">
      <c r="A38" s="1" t="s">
        <v>35</v>
      </c>
      <c r="B38" s="2"/>
      <c r="C38" s="1">
        <f t="shared" si="9"/>
        <v>0</v>
      </c>
      <c r="D38" s="1">
        <f t="shared" si="10"/>
        <v>0</v>
      </c>
      <c r="E38" s="1">
        <f t="shared" si="11"/>
        <v>0</v>
      </c>
      <c r="F38" s="1" t="str">
        <f t="shared" si="12"/>
        <v>0%</v>
      </c>
      <c r="G38" s="2"/>
      <c r="H38" s="1">
        <f t="shared" si="13"/>
        <v>0</v>
      </c>
      <c r="I38" s="1">
        <v>0</v>
      </c>
      <c r="J38" s="1">
        <v>0</v>
      </c>
      <c r="K38" s="1" t="str">
        <f t="shared" si="14"/>
        <v>0%</v>
      </c>
      <c r="L38" s="2"/>
      <c r="M38" s="1">
        <f t="shared" si="15"/>
        <v>0</v>
      </c>
      <c r="N38" s="1">
        <v>0</v>
      </c>
      <c r="O38" s="1">
        <v>0</v>
      </c>
      <c r="P38" s="1" t="str">
        <f t="shared" si="16"/>
        <v>0%</v>
      </c>
      <c r="Q38" s="2"/>
      <c r="R38" s="1">
        <f t="shared" si="17"/>
        <v>0</v>
      </c>
      <c r="S38" s="1">
        <v>0</v>
      </c>
      <c r="T38" s="1">
        <v>0</v>
      </c>
      <c r="U38" s="1" t="str">
        <f t="shared" si="18"/>
        <v>0%</v>
      </c>
      <c r="V38" s="2"/>
      <c r="W38" s="1">
        <f t="shared" si="19"/>
        <v>0</v>
      </c>
      <c r="X38" s="1">
        <v>0</v>
      </c>
      <c r="Y38" s="1">
        <v>0</v>
      </c>
      <c r="Z38" s="1" t="str">
        <f t="shared" si="20"/>
        <v>0%</v>
      </c>
      <c r="AA38" s="3"/>
    </row>
    <row r="39" spans="1:27" x14ac:dyDescent="0.25">
      <c r="A39" s="1" t="s">
        <v>36</v>
      </c>
      <c r="B39" s="2"/>
      <c r="C39" s="1">
        <f t="shared" si="9"/>
        <v>0</v>
      </c>
      <c r="D39" s="1">
        <f t="shared" si="10"/>
        <v>0</v>
      </c>
      <c r="E39" s="1">
        <f t="shared" si="11"/>
        <v>0</v>
      </c>
      <c r="F39" s="1" t="str">
        <f t="shared" si="12"/>
        <v>0%</v>
      </c>
      <c r="G39" s="2"/>
      <c r="H39" s="1">
        <f t="shared" si="13"/>
        <v>0</v>
      </c>
      <c r="I39" s="1">
        <v>0</v>
      </c>
      <c r="J39" s="1">
        <v>0</v>
      </c>
      <c r="K39" s="1" t="str">
        <f t="shared" si="14"/>
        <v>0%</v>
      </c>
      <c r="L39" s="2"/>
      <c r="M39" s="1">
        <f t="shared" si="15"/>
        <v>0</v>
      </c>
      <c r="N39" s="1">
        <v>0</v>
      </c>
      <c r="O39" s="1">
        <v>0</v>
      </c>
      <c r="P39" s="1" t="str">
        <f t="shared" si="16"/>
        <v>0%</v>
      </c>
      <c r="Q39" s="2"/>
      <c r="R39" s="1">
        <f t="shared" si="17"/>
        <v>0</v>
      </c>
      <c r="S39" s="1">
        <v>0</v>
      </c>
      <c r="T39" s="1">
        <v>0</v>
      </c>
      <c r="U39" s="1" t="str">
        <f t="shared" si="18"/>
        <v>0%</v>
      </c>
      <c r="V39" s="2"/>
      <c r="W39" s="1">
        <f t="shared" si="19"/>
        <v>0</v>
      </c>
      <c r="X39" s="1">
        <v>0</v>
      </c>
      <c r="Y39" s="1">
        <v>0</v>
      </c>
      <c r="Z39" s="1" t="str">
        <f t="shared" si="20"/>
        <v>0%</v>
      </c>
      <c r="AA39" s="3"/>
    </row>
    <row r="40" spans="1:27" x14ac:dyDescent="0.25">
      <c r="A40" s="1" t="s">
        <v>37</v>
      </c>
      <c r="B40" s="2"/>
      <c r="C40" s="1">
        <f t="shared" si="9"/>
        <v>0</v>
      </c>
      <c r="D40" s="1">
        <f t="shared" si="10"/>
        <v>0</v>
      </c>
      <c r="E40" s="1">
        <f t="shared" si="11"/>
        <v>0</v>
      </c>
      <c r="F40" s="1" t="str">
        <f t="shared" si="12"/>
        <v>0%</v>
      </c>
      <c r="G40" s="2"/>
      <c r="H40" s="1">
        <f t="shared" si="13"/>
        <v>0</v>
      </c>
      <c r="I40" s="1">
        <v>0</v>
      </c>
      <c r="J40" s="1">
        <v>0</v>
      </c>
      <c r="K40" s="1" t="str">
        <f t="shared" si="14"/>
        <v>0%</v>
      </c>
      <c r="L40" s="2"/>
      <c r="M40" s="1">
        <f t="shared" si="15"/>
        <v>0</v>
      </c>
      <c r="N40" s="1">
        <v>0</v>
      </c>
      <c r="O40" s="1">
        <v>0</v>
      </c>
      <c r="P40" s="1" t="str">
        <f t="shared" si="16"/>
        <v>0%</v>
      </c>
      <c r="Q40" s="2"/>
      <c r="R40" s="1">
        <f t="shared" si="17"/>
        <v>0</v>
      </c>
      <c r="S40" s="1">
        <v>0</v>
      </c>
      <c r="T40" s="1">
        <v>0</v>
      </c>
      <c r="U40" s="1" t="str">
        <f t="shared" si="18"/>
        <v>0%</v>
      </c>
      <c r="V40" s="2"/>
      <c r="W40" s="1">
        <f t="shared" si="19"/>
        <v>0</v>
      </c>
      <c r="X40" s="1">
        <v>0</v>
      </c>
      <c r="Y40" s="1">
        <v>0</v>
      </c>
      <c r="Z40" s="1" t="str">
        <f t="shared" si="20"/>
        <v>0%</v>
      </c>
      <c r="AA40" s="3"/>
    </row>
    <row r="41" spans="1:27" x14ac:dyDescent="0.25">
      <c r="A41" s="1" t="s">
        <v>38</v>
      </c>
      <c r="B41" s="2"/>
      <c r="C41" s="1">
        <f t="shared" si="9"/>
        <v>0</v>
      </c>
      <c r="D41" s="1">
        <f t="shared" si="10"/>
        <v>0</v>
      </c>
      <c r="E41" s="1">
        <f t="shared" si="11"/>
        <v>0</v>
      </c>
      <c r="F41" s="1" t="str">
        <f t="shared" si="12"/>
        <v>0%</v>
      </c>
      <c r="G41" s="2"/>
      <c r="H41" s="1">
        <f t="shared" si="13"/>
        <v>0</v>
      </c>
      <c r="I41" s="1">
        <v>0</v>
      </c>
      <c r="J41" s="1">
        <v>0</v>
      </c>
      <c r="K41" s="1" t="str">
        <f t="shared" si="14"/>
        <v>0%</v>
      </c>
      <c r="L41" s="2"/>
      <c r="M41" s="1">
        <f t="shared" si="15"/>
        <v>0</v>
      </c>
      <c r="N41" s="1">
        <v>0</v>
      </c>
      <c r="O41" s="1">
        <v>0</v>
      </c>
      <c r="P41" s="1" t="str">
        <f t="shared" si="16"/>
        <v>0%</v>
      </c>
      <c r="Q41" s="2"/>
      <c r="R41" s="1">
        <f t="shared" si="17"/>
        <v>0</v>
      </c>
      <c r="S41" s="1">
        <v>0</v>
      </c>
      <c r="T41" s="1">
        <v>0</v>
      </c>
      <c r="U41" s="1" t="str">
        <f t="shared" si="18"/>
        <v>0%</v>
      </c>
      <c r="V41" s="2"/>
      <c r="W41" s="1">
        <f t="shared" si="19"/>
        <v>0</v>
      </c>
      <c r="X41" s="1">
        <v>0</v>
      </c>
      <c r="Y41" s="1">
        <v>0</v>
      </c>
      <c r="Z41" s="1" t="str">
        <f t="shared" si="20"/>
        <v>0%</v>
      </c>
      <c r="AA41" s="3"/>
    </row>
    <row r="42" spans="1:27" x14ac:dyDescent="0.25">
      <c r="A42" s="1" t="s">
        <v>39</v>
      </c>
      <c r="B42" s="2"/>
      <c r="C42" s="1">
        <f t="shared" si="9"/>
        <v>0</v>
      </c>
      <c r="D42" s="1">
        <f t="shared" si="10"/>
        <v>0</v>
      </c>
      <c r="E42" s="1">
        <f t="shared" si="11"/>
        <v>0</v>
      </c>
      <c r="F42" s="1" t="str">
        <f t="shared" si="12"/>
        <v>0%</v>
      </c>
      <c r="G42" s="2"/>
      <c r="H42" s="1">
        <f t="shared" si="13"/>
        <v>0</v>
      </c>
      <c r="I42" s="1">
        <v>0</v>
      </c>
      <c r="J42" s="1">
        <v>0</v>
      </c>
      <c r="K42" s="1" t="str">
        <f t="shared" si="14"/>
        <v>0%</v>
      </c>
      <c r="L42" s="2"/>
      <c r="M42" s="1">
        <f t="shared" si="15"/>
        <v>0</v>
      </c>
      <c r="N42" s="1">
        <v>0</v>
      </c>
      <c r="O42" s="1">
        <v>0</v>
      </c>
      <c r="P42" s="1" t="str">
        <f t="shared" si="16"/>
        <v>0%</v>
      </c>
      <c r="Q42" s="2"/>
      <c r="R42" s="1">
        <f t="shared" si="17"/>
        <v>0</v>
      </c>
      <c r="S42" s="1">
        <v>0</v>
      </c>
      <c r="T42" s="1">
        <v>0</v>
      </c>
      <c r="U42" s="1" t="str">
        <f t="shared" si="18"/>
        <v>0%</v>
      </c>
      <c r="V42" s="2"/>
      <c r="W42" s="1">
        <f t="shared" si="19"/>
        <v>0</v>
      </c>
      <c r="X42" s="1">
        <v>0</v>
      </c>
      <c r="Y42" s="1">
        <v>0</v>
      </c>
      <c r="Z42" s="1" t="str">
        <f t="shared" si="20"/>
        <v>0%</v>
      </c>
      <c r="AA42" s="3"/>
    </row>
    <row r="43" spans="1:27" x14ac:dyDescent="0.25">
      <c r="A43" s="1" t="s">
        <v>40</v>
      </c>
      <c r="B43" s="2"/>
      <c r="C43" s="1">
        <f t="shared" si="9"/>
        <v>0</v>
      </c>
      <c r="D43" s="1">
        <f t="shared" si="10"/>
        <v>0</v>
      </c>
      <c r="E43" s="1">
        <f t="shared" si="11"/>
        <v>0</v>
      </c>
      <c r="F43" s="1" t="str">
        <f t="shared" si="12"/>
        <v>0%</v>
      </c>
      <c r="G43" s="2"/>
      <c r="H43" s="1">
        <f t="shared" si="13"/>
        <v>0</v>
      </c>
      <c r="I43" s="1">
        <v>0</v>
      </c>
      <c r="J43" s="1">
        <v>0</v>
      </c>
      <c r="K43" s="1" t="str">
        <f t="shared" si="14"/>
        <v>0%</v>
      </c>
      <c r="L43" s="2"/>
      <c r="M43" s="1">
        <f t="shared" si="15"/>
        <v>0</v>
      </c>
      <c r="N43" s="1">
        <v>0</v>
      </c>
      <c r="O43" s="1">
        <v>0</v>
      </c>
      <c r="P43" s="1" t="str">
        <f t="shared" si="16"/>
        <v>0%</v>
      </c>
      <c r="Q43" s="2"/>
      <c r="R43" s="1">
        <f t="shared" si="17"/>
        <v>0</v>
      </c>
      <c r="S43" s="1">
        <v>0</v>
      </c>
      <c r="T43" s="1">
        <v>0</v>
      </c>
      <c r="U43" s="1" t="str">
        <f t="shared" si="18"/>
        <v>0%</v>
      </c>
      <c r="V43" s="2"/>
      <c r="W43" s="1">
        <f t="shared" si="19"/>
        <v>0</v>
      </c>
      <c r="X43" s="1">
        <v>0</v>
      </c>
      <c r="Y43" s="1">
        <v>0</v>
      </c>
      <c r="Z43" s="1" t="str">
        <f t="shared" si="20"/>
        <v>0%</v>
      </c>
      <c r="AA43" s="3"/>
    </row>
    <row r="44" spans="1:27" x14ac:dyDescent="0.25">
      <c r="A44" s="1" t="s">
        <v>41</v>
      </c>
      <c r="B44" s="2"/>
      <c r="C44" s="1">
        <f t="shared" si="9"/>
        <v>0</v>
      </c>
      <c r="D44" s="1">
        <f t="shared" si="10"/>
        <v>0</v>
      </c>
      <c r="E44" s="1">
        <f t="shared" si="11"/>
        <v>0</v>
      </c>
      <c r="F44" s="1" t="str">
        <f t="shared" si="12"/>
        <v>0%</v>
      </c>
      <c r="G44" s="2"/>
      <c r="H44" s="1">
        <f t="shared" si="13"/>
        <v>0</v>
      </c>
      <c r="I44" s="1">
        <v>0</v>
      </c>
      <c r="J44" s="1">
        <v>0</v>
      </c>
      <c r="K44" s="1" t="str">
        <f t="shared" si="14"/>
        <v>0%</v>
      </c>
      <c r="L44" s="2"/>
      <c r="M44" s="1">
        <f t="shared" si="15"/>
        <v>0</v>
      </c>
      <c r="N44" s="1">
        <v>0</v>
      </c>
      <c r="O44" s="1">
        <v>0</v>
      </c>
      <c r="P44" s="1" t="str">
        <f t="shared" si="16"/>
        <v>0%</v>
      </c>
      <c r="Q44" s="2"/>
      <c r="R44" s="1">
        <f t="shared" si="17"/>
        <v>0</v>
      </c>
      <c r="S44" s="1">
        <v>0</v>
      </c>
      <c r="T44" s="1">
        <v>0</v>
      </c>
      <c r="U44" s="1" t="str">
        <f t="shared" si="18"/>
        <v>0%</v>
      </c>
      <c r="V44" s="2"/>
      <c r="W44" s="1">
        <f t="shared" si="19"/>
        <v>0</v>
      </c>
      <c r="X44" s="1">
        <v>0</v>
      </c>
      <c r="Y44" s="1">
        <v>0</v>
      </c>
      <c r="Z44" s="1" t="str">
        <f t="shared" si="20"/>
        <v>0%</v>
      </c>
      <c r="AA44" s="3"/>
    </row>
    <row r="45" spans="1:27" x14ac:dyDescent="0.25">
      <c r="A45" s="1" t="s">
        <v>42</v>
      </c>
      <c r="B45" s="2"/>
      <c r="C45" s="1">
        <f t="shared" si="9"/>
        <v>0</v>
      </c>
      <c r="D45" s="1">
        <f t="shared" si="10"/>
        <v>0</v>
      </c>
      <c r="E45" s="1">
        <f t="shared" si="11"/>
        <v>0</v>
      </c>
      <c r="F45" s="1" t="str">
        <f t="shared" si="12"/>
        <v>0%</v>
      </c>
      <c r="G45" s="2"/>
      <c r="H45" s="1">
        <f t="shared" si="13"/>
        <v>0</v>
      </c>
      <c r="I45" s="1">
        <v>0</v>
      </c>
      <c r="J45" s="1">
        <v>0</v>
      </c>
      <c r="K45" s="1" t="str">
        <f t="shared" si="14"/>
        <v>0%</v>
      </c>
      <c r="L45" s="2"/>
      <c r="M45" s="1">
        <f t="shared" si="15"/>
        <v>0</v>
      </c>
      <c r="N45" s="1">
        <v>0</v>
      </c>
      <c r="O45" s="1">
        <v>0</v>
      </c>
      <c r="P45" s="1" t="str">
        <f t="shared" si="16"/>
        <v>0%</v>
      </c>
      <c r="Q45" s="2"/>
      <c r="R45" s="1">
        <f t="shared" si="17"/>
        <v>0</v>
      </c>
      <c r="S45" s="1">
        <v>0</v>
      </c>
      <c r="T45" s="1">
        <v>0</v>
      </c>
      <c r="U45" s="1" t="str">
        <f t="shared" si="18"/>
        <v>0%</v>
      </c>
      <c r="V45" s="2"/>
      <c r="W45" s="1">
        <f t="shared" si="19"/>
        <v>0</v>
      </c>
      <c r="X45" s="1">
        <v>0</v>
      </c>
      <c r="Y45" s="1">
        <v>0</v>
      </c>
      <c r="Z45" s="1" t="str">
        <f t="shared" si="20"/>
        <v>0%</v>
      </c>
      <c r="AA45" s="3"/>
    </row>
    <row r="46" spans="1:27" x14ac:dyDescent="0.25">
      <c r="A46" s="1" t="s">
        <v>43</v>
      </c>
      <c r="B46" s="2"/>
      <c r="C46" s="1">
        <f t="shared" si="9"/>
        <v>0</v>
      </c>
      <c r="D46" s="1">
        <f t="shared" si="10"/>
        <v>0</v>
      </c>
      <c r="E46" s="1">
        <f t="shared" si="11"/>
        <v>0</v>
      </c>
      <c r="F46" s="1" t="str">
        <f t="shared" si="12"/>
        <v>0%</v>
      </c>
      <c r="G46" s="2"/>
      <c r="H46" s="1">
        <f t="shared" si="13"/>
        <v>0</v>
      </c>
      <c r="I46" s="1">
        <v>0</v>
      </c>
      <c r="J46" s="1">
        <v>0</v>
      </c>
      <c r="K46" s="1" t="str">
        <f t="shared" si="14"/>
        <v>0%</v>
      </c>
      <c r="L46" s="2"/>
      <c r="M46" s="1">
        <f t="shared" si="15"/>
        <v>0</v>
      </c>
      <c r="N46" s="1">
        <v>0</v>
      </c>
      <c r="O46" s="1">
        <v>0</v>
      </c>
      <c r="P46" s="1" t="str">
        <f t="shared" si="16"/>
        <v>0%</v>
      </c>
      <c r="Q46" s="2"/>
      <c r="R46" s="1">
        <f t="shared" si="17"/>
        <v>0</v>
      </c>
      <c r="S46" s="1">
        <v>0</v>
      </c>
      <c r="T46" s="1">
        <v>0</v>
      </c>
      <c r="U46" s="1" t="str">
        <f t="shared" si="18"/>
        <v>0%</v>
      </c>
      <c r="V46" s="2"/>
      <c r="W46" s="1">
        <f t="shared" si="19"/>
        <v>0</v>
      </c>
      <c r="X46" s="1">
        <v>0</v>
      </c>
      <c r="Y46" s="1">
        <v>0</v>
      </c>
      <c r="Z46" s="1" t="str">
        <f t="shared" si="20"/>
        <v>0%</v>
      </c>
      <c r="AA46" s="3"/>
    </row>
    <row r="47" spans="1:27" x14ac:dyDescent="0.25">
      <c r="A47" s="1" t="s">
        <v>44</v>
      </c>
      <c r="B47" s="2"/>
      <c r="C47" s="1">
        <f t="shared" si="9"/>
        <v>0</v>
      </c>
      <c r="D47" s="1">
        <f t="shared" si="10"/>
        <v>0</v>
      </c>
      <c r="E47" s="1">
        <f t="shared" si="11"/>
        <v>0</v>
      </c>
      <c r="F47" s="1" t="str">
        <f t="shared" si="12"/>
        <v>0%</v>
      </c>
      <c r="G47" s="2"/>
      <c r="H47" s="1">
        <f t="shared" si="13"/>
        <v>0</v>
      </c>
      <c r="I47" s="1">
        <v>0</v>
      </c>
      <c r="J47" s="1">
        <v>0</v>
      </c>
      <c r="K47" s="1" t="str">
        <f t="shared" si="14"/>
        <v>0%</v>
      </c>
      <c r="L47" s="2"/>
      <c r="M47" s="1">
        <f t="shared" si="15"/>
        <v>0</v>
      </c>
      <c r="N47" s="1">
        <v>0</v>
      </c>
      <c r="O47" s="1">
        <v>0</v>
      </c>
      <c r="P47" s="1" t="str">
        <f t="shared" si="16"/>
        <v>0%</v>
      </c>
      <c r="Q47" s="2"/>
      <c r="R47" s="1">
        <f t="shared" si="17"/>
        <v>0</v>
      </c>
      <c r="S47" s="1">
        <v>0</v>
      </c>
      <c r="T47" s="1">
        <v>0</v>
      </c>
      <c r="U47" s="1" t="str">
        <f t="shared" si="18"/>
        <v>0%</v>
      </c>
      <c r="V47" s="2"/>
      <c r="W47" s="1">
        <f t="shared" si="19"/>
        <v>0</v>
      </c>
      <c r="X47" s="1">
        <v>0</v>
      </c>
      <c r="Y47" s="1">
        <v>0</v>
      </c>
      <c r="Z47" s="1" t="str">
        <f t="shared" si="20"/>
        <v>0%</v>
      </c>
      <c r="AA47" s="3"/>
    </row>
    <row r="48" spans="1:27" x14ac:dyDescent="0.25">
      <c r="A48" s="1" t="s">
        <v>45</v>
      </c>
      <c r="B48" s="2"/>
      <c r="C48" s="1">
        <f t="shared" si="9"/>
        <v>0</v>
      </c>
      <c r="D48" s="1">
        <f t="shared" si="10"/>
        <v>0</v>
      </c>
      <c r="E48" s="1">
        <f t="shared" si="11"/>
        <v>0</v>
      </c>
      <c r="F48" s="1" t="str">
        <f t="shared" si="12"/>
        <v>0%</v>
      </c>
      <c r="G48" s="2"/>
      <c r="H48" s="1">
        <f t="shared" si="13"/>
        <v>0</v>
      </c>
      <c r="I48" s="1">
        <v>0</v>
      </c>
      <c r="J48" s="1">
        <v>0</v>
      </c>
      <c r="K48" s="1" t="str">
        <f t="shared" si="14"/>
        <v>0%</v>
      </c>
      <c r="L48" s="2"/>
      <c r="M48" s="1">
        <f t="shared" si="15"/>
        <v>0</v>
      </c>
      <c r="N48" s="1">
        <v>0</v>
      </c>
      <c r="O48" s="1">
        <v>0</v>
      </c>
      <c r="P48" s="1" t="str">
        <f t="shared" si="16"/>
        <v>0%</v>
      </c>
      <c r="Q48" s="2"/>
      <c r="R48" s="1">
        <f t="shared" si="17"/>
        <v>0</v>
      </c>
      <c r="S48" s="1">
        <v>0</v>
      </c>
      <c r="T48" s="1">
        <v>0</v>
      </c>
      <c r="U48" s="1" t="str">
        <f t="shared" si="18"/>
        <v>0%</v>
      </c>
      <c r="V48" s="2"/>
      <c r="W48" s="1">
        <f t="shared" si="19"/>
        <v>0</v>
      </c>
      <c r="X48" s="1">
        <v>0</v>
      </c>
      <c r="Y48" s="1">
        <v>0</v>
      </c>
      <c r="Z48" s="1" t="str">
        <f t="shared" si="20"/>
        <v>0%</v>
      </c>
      <c r="AA48" s="3"/>
    </row>
    <row r="49" spans="1:27" x14ac:dyDescent="0.25">
      <c r="A49" s="1" t="s">
        <v>46</v>
      </c>
      <c r="B49" s="2"/>
      <c r="C49" s="1">
        <f t="shared" si="9"/>
        <v>0</v>
      </c>
      <c r="D49" s="1">
        <f t="shared" si="10"/>
        <v>0</v>
      </c>
      <c r="E49" s="1">
        <f t="shared" si="11"/>
        <v>0</v>
      </c>
      <c r="F49" s="1" t="str">
        <f t="shared" si="12"/>
        <v>0%</v>
      </c>
      <c r="G49" s="2"/>
      <c r="H49" s="1">
        <f t="shared" si="13"/>
        <v>0</v>
      </c>
      <c r="I49" s="1">
        <v>0</v>
      </c>
      <c r="J49" s="1">
        <v>0</v>
      </c>
      <c r="K49" s="1" t="str">
        <f t="shared" si="14"/>
        <v>0%</v>
      </c>
      <c r="L49" s="2"/>
      <c r="M49" s="1">
        <f t="shared" si="15"/>
        <v>0</v>
      </c>
      <c r="N49" s="1">
        <v>0</v>
      </c>
      <c r="O49" s="1">
        <v>0</v>
      </c>
      <c r="P49" s="1" t="str">
        <f t="shared" si="16"/>
        <v>0%</v>
      </c>
      <c r="Q49" s="2"/>
      <c r="R49" s="1">
        <f t="shared" si="17"/>
        <v>0</v>
      </c>
      <c r="S49" s="1">
        <v>0</v>
      </c>
      <c r="T49" s="1">
        <v>0</v>
      </c>
      <c r="U49" s="1" t="str">
        <f t="shared" si="18"/>
        <v>0%</v>
      </c>
      <c r="V49" s="2"/>
      <c r="W49" s="1">
        <f t="shared" si="19"/>
        <v>0</v>
      </c>
      <c r="X49" s="1">
        <v>0</v>
      </c>
      <c r="Y49" s="1">
        <v>0</v>
      </c>
      <c r="Z49" s="1" t="str">
        <f t="shared" si="20"/>
        <v>0%</v>
      </c>
      <c r="AA49" s="3"/>
    </row>
    <row r="50" spans="1:27" x14ac:dyDescent="0.25">
      <c r="A50" s="1" t="s">
        <v>47</v>
      </c>
      <c r="B50" s="2"/>
      <c r="C50" s="1">
        <f t="shared" si="9"/>
        <v>0</v>
      </c>
      <c r="D50" s="1">
        <f t="shared" si="10"/>
        <v>0</v>
      </c>
      <c r="E50" s="1">
        <f t="shared" si="11"/>
        <v>0</v>
      </c>
      <c r="F50" s="1" t="str">
        <f t="shared" si="12"/>
        <v>0%</v>
      </c>
      <c r="G50" s="2"/>
      <c r="H50" s="1">
        <f t="shared" si="13"/>
        <v>0</v>
      </c>
      <c r="I50" s="1">
        <v>0</v>
      </c>
      <c r="J50" s="1">
        <v>0</v>
      </c>
      <c r="K50" s="1" t="str">
        <f t="shared" si="14"/>
        <v>0%</v>
      </c>
      <c r="L50" s="2"/>
      <c r="M50" s="1">
        <f t="shared" si="15"/>
        <v>0</v>
      </c>
      <c r="N50" s="1">
        <v>0</v>
      </c>
      <c r="O50" s="1">
        <v>0</v>
      </c>
      <c r="P50" s="1" t="str">
        <f t="shared" si="16"/>
        <v>0%</v>
      </c>
      <c r="Q50" s="2"/>
      <c r="R50" s="1">
        <f t="shared" si="17"/>
        <v>0</v>
      </c>
      <c r="S50" s="1">
        <v>0</v>
      </c>
      <c r="T50" s="1">
        <v>0</v>
      </c>
      <c r="U50" s="1" t="str">
        <f t="shared" si="18"/>
        <v>0%</v>
      </c>
      <c r="V50" s="2"/>
      <c r="W50" s="1">
        <f t="shared" si="19"/>
        <v>0</v>
      </c>
      <c r="X50" s="1">
        <v>0</v>
      </c>
      <c r="Y50" s="1">
        <v>0</v>
      </c>
      <c r="Z50" s="1" t="str">
        <f t="shared" si="20"/>
        <v>0%</v>
      </c>
      <c r="AA50" s="3"/>
    </row>
    <row r="51" spans="1:27" x14ac:dyDescent="0.25">
      <c r="A51" s="1" t="s">
        <v>48</v>
      </c>
      <c r="B51" s="2"/>
      <c r="C51" s="1">
        <f t="shared" si="9"/>
        <v>0</v>
      </c>
      <c r="D51" s="1">
        <f t="shared" si="10"/>
        <v>0</v>
      </c>
      <c r="E51" s="1">
        <f t="shared" si="11"/>
        <v>0</v>
      </c>
      <c r="F51" s="1" t="str">
        <f t="shared" si="12"/>
        <v>0%</v>
      </c>
      <c r="G51" s="2"/>
      <c r="H51" s="1">
        <f t="shared" si="13"/>
        <v>0</v>
      </c>
      <c r="I51" s="1">
        <v>0</v>
      </c>
      <c r="J51" s="1">
        <v>0</v>
      </c>
      <c r="K51" s="1" t="str">
        <f t="shared" si="14"/>
        <v>0%</v>
      </c>
      <c r="L51" s="2"/>
      <c r="M51" s="1">
        <f t="shared" si="15"/>
        <v>0</v>
      </c>
      <c r="N51" s="1">
        <v>0</v>
      </c>
      <c r="O51" s="1">
        <v>0</v>
      </c>
      <c r="P51" s="1" t="str">
        <f t="shared" si="16"/>
        <v>0%</v>
      </c>
      <c r="Q51" s="2"/>
      <c r="R51" s="1">
        <f t="shared" si="17"/>
        <v>0</v>
      </c>
      <c r="S51" s="1">
        <v>0</v>
      </c>
      <c r="T51" s="1">
        <v>0</v>
      </c>
      <c r="U51" s="1" t="str">
        <f t="shared" si="18"/>
        <v>0%</v>
      </c>
      <c r="V51" s="2"/>
      <c r="W51" s="1">
        <f t="shared" si="19"/>
        <v>0</v>
      </c>
      <c r="X51" s="1">
        <v>0</v>
      </c>
      <c r="Y51" s="1">
        <v>0</v>
      </c>
      <c r="Z51" s="1" t="str">
        <f t="shared" si="20"/>
        <v>0%</v>
      </c>
      <c r="AA51" s="3"/>
    </row>
    <row r="52" spans="1:27" x14ac:dyDescent="0.25">
      <c r="A52" s="1" t="s">
        <v>49</v>
      </c>
      <c r="B52" s="2"/>
      <c r="C52" s="1">
        <f t="shared" si="9"/>
        <v>0</v>
      </c>
      <c r="D52" s="1">
        <f t="shared" si="10"/>
        <v>0</v>
      </c>
      <c r="E52" s="1">
        <f t="shared" si="11"/>
        <v>0</v>
      </c>
      <c r="F52" s="1" t="str">
        <f t="shared" si="12"/>
        <v>0%</v>
      </c>
      <c r="G52" s="2"/>
      <c r="H52" s="1">
        <f t="shared" si="13"/>
        <v>0</v>
      </c>
      <c r="I52" s="1">
        <v>0</v>
      </c>
      <c r="J52" s="1">
        <v>0</v>
      </c>
      <c r="K52" s="1" t="str">
        <f t="shared" si="14"/>
        <v>0%</v>
      </c>
      <c r="L52" s="2"/>
      <c r="M52" s="1">
        <f t="shared" si="15"/>
        <v>0</v>
      </c>
      <c r="N52" s="1">
        <v>0</v>
      </c>
      <c r="O52" s="1">
        <v>0</v>
      </c>
      <c r="P52" s="1" t="str">
        <f t="shared" si="16"/>
        <v>0%</v>
      </c>
      <c r="Q52" s="2"/>
      <c r="R52" s="1">
        <f t="shared" si="17"/>
        <v>0</v>
      </c>
      <c r="S52" s="1">
        <v>0</v>
      </c>
      <c r="T52" s="1">
        <v>0</v>
      </c>
      <c r="U52" s="1" t="str">
        <f t="shared" si="18"/>
        <v>0%</v>
      </c>
      <c r="V52" s="2"/>
      <c r="W52" s="1">
        <f t="shared" si="19"/>
        <v>0</v>
      </c>
      <c r="X52" s="1">
        <v>0</v>
      </c>
      <c r="Y52" s="1">
        <v>0</v>
      </c>
      <c r="Z52" s="1" t="str">
        <f t="shared" si="20"/>
        <v>0%</v>
      </c>
      <c r="AA52" s="3"/>
    </row>
    <row r="53" spans="1:27" x14ac:dyDescent="0.25">
      <c r="A53" s="1" t="s">
        <v>50</v>
      </c>
      <c r="B53" s="2"/>
      <c r="C53" s="1">
        <f t="shared" si="9"/>
        <v>0</v>
      </c>
      <c r="D53" s="1">
        <f t="shared" si="10"/>
        <v>0</v>
      </c>
      <c r="E53" s="1">
        <f t="shared" si="11"/>
        <v>0</v>
      </c>
      <c r="F53" s="1" t="str">
        <f t="shared" si="12"/>
        <v>0%</v>
      </c>
      <c r="G53" s="2"/>
      <c r="H53" s="1">
        <f t="shared" si="13"/>
        <v>0</v>
      </c>
      <c r="I53" s="1">
        <v>0</v>
      </c>
      <c r="J53" s="1">
        <v>0</v>
      </c>
      <c r="K53" s="1" t="str">
        <f t="shared" si="14"/>
        <v>0%</v>
      </c>
      <c r="L53" s="2"/>
      <c r="M53" s="1">
        <f t="shared" si="15"/>
        <v>0</v>
      </c>
      <c r="N53" s="1">
        <v>0</v>
      </c>
      <c r="O53" s="1">
        <v>0</v>
      </c>
      <c r="P53" s="1" t="str">
        <f t="shared" si="16"/>
        <v>0%</v>
      </c>
      <c r="Q53" s="2"/>
      <c r="R53" s="1">
        <f t="shared" si="17"/>
        <v>0</v>
      </c>
      <c r="S53" s="1">
        <v>0</v>
      </c>
      <c r="T53" s="1">
        <v>0</v>
      </c>
      <c r="U53" s="1" t="str">
        <f t="shared" si="18"/>
        <v>0%</v>
      </c>
      <c r="V53" s="2"/>
      <c r="W53" s="1">
        <f t="shared" si="19"/>
        <v>0</v>
      </c>
      <c r="X53" s="1">
        <v>0</v>
      </c>
      <c r="Y53" s="1">
        <v>0</v>
      </c>
      <c r="Z53" s="1" t="str">
        <f t="shared" si="20"/>
        <v>0%</v>
      </c>
      <c r="AA53" s="3"/>
    </row>
    <row r="54" spans="1:27" x14ac:dyDescent="0.25">
      <c r="A54" s="1" t="s">
        <v>51</v>
      </c>
      <c r="B54" s="2"/>
      <c r="C54" s="1">
        <f t="shared" si="9"/>
        <v>0</v>
      </c>
      <c r="D54" s="1">
        <f t="shared" si="10"/>
        <v>0</v>
      </c>
      <c r="E54" s="1">
        <f t="shared" si="11"/>
        <v>0</v>
      </c>
      <c r="F54" s="1" t="str">
        <f t="shared" si="12"/>
        <v>0%</v>
      </c>
      <c r="G54" s="2"/>
      <c r="H54" s="1">
        <f t="shared" si="13"/>
        <v>0</v>
      </c>
      <c r="I54" s="1">
        <v>0</v>
      </c>
      <c r="J54" s="1">
        <v>0</v>
      </c>
      <c r="K54" s="1" t="str">
        <f t="shared" si="14"/>
        <v>0%</v>
      </c>
      <c r="L54" s="2"/>
      <c r="M54" s="1">
        <f t="shared" si="15"/>
        <v>0</v>
      </c>
      <c r="N54" s="1">
        <v>0</v>
      </c>
      <c r="O54" s="1">
        <v>0</v>
      </c>
      <c r="P54" s="1" t="str">
        <f t="shared" si="16"/>
        <v>0%</v>
      </c>
      <c r="Q54" s="2"/>
      <c r="R54" s="1">
        <f t="shared" si="17"/>
        <v>0</v>
      </c>
      <c r="S54" s="1">
        <v>0</v>
      </c>
      <c r="T54" s="1">
        <v>0</v>
      </c>
      <c r="U54" s="1" t="str">
        <f t="shared" si="18"/>
        <v>0%</v>
      </c>
      <c r="V54" s="2"/>
      <c r="W54" s="1">
        <f t="shared" si="19"/>
        <v>0</v>
      </c>
      <c r="X54" s="1">
        <v>0</v>
      </c>
      <c r="Y54" s="1">
        <v>0</v>
      </c>
      <c r="Z54" s="1" t="str">
        <f t="shared" si="20"/>
        <v>0%</v>
      </c>
      <c r="AA54" s="3"/>
    </row>
    <row r="55" spans="1:27" x14ac:dyDescent="0.25">
      <c r="A55" s="1" t="s">
        <v>52</v>
      </c>
      <c r="B55" s="2"/>
      <c r="C55" s="1">
        <f t="shared" si="9"/>
        <v>0</v>
      </c>
      <c r="D55" s="1">
        <f t="shared" si="10"/>
        <v>0</v>
      </c>
      <c r="E55" s="1">
        <f t="shared" si="11"/>
        <v>0</v>
      </c>
      <c r="F55" s="1" t="str">
        <f t="shared" si="12"/>
        <v>0%</v>
      </c>
      <c r="G55" s="2"/>
      <c r="H55" s="1">
        <f t="shared" si="13"/>
        <v>0</v>
      </c>
      <c r="I55" s="1">
        <v>0</v>
      </c>
      <c r="J55" s="1">
        <v>0</v>
      </c>
      <c r="K55" s="1" t="str">
        <f t="shared" si="14"/>
        <v>0%</v>
      </c>
      <c r="L55" s="2"/>
      <c r="M55" s="1">
        <f t="shared" si="15"/>
        <v>0</v>
      </c>
      <c r="N55" s="1">
        <v>0</v>
      </c>
      <c r="O55" s="1">
        <v>0</v>
      </c>
      <c r="P55" s="1" t="str">
        <f t="shared" si="16"/>
        <v>0%</v>
      </c>
      <c r="Q55" s="2"/>
      <c r="R55" s="1">
        <f t="shared" si="17"/>
        <v>0</v>
      </c>
      <c r="S55" s="1">
        <v>0</v>
      </c>
      <c r="T55" s="1">
        <v>0</v>
      </c>
      <c r="U55" s="1" t="str">
        <f t="shared" si="18"/>
        <v>0%</v>
      </c>
      <c r="V55" s="2"/>
      <c r="W55" s="1">
        <f t="shared" si="19"/>
        <v>0</v>
      </c>
      <c r="X55" s="1">
        <v>0</v>
      </c>
      <c r="Y55" s="1">
        <v>0</v>
      </c>
      <c r="Z55" s="1" t="str">
        <f t="shared" si="20"/>
        <v>0%</v>
      </c>
      <c r="AA55" s="3"/>
    </row>
    <row r="56" spans="1:27" x14ac:dyDescent="0.25">
      <c r="A56" s="1" t="s">
        <v>157</v>
      </c>
      <c r="B56" s="2"/>
      <c r="C56" s="1">
        <f t="shared" si="9"/>
        <v>0</v>
      </c>
      <c r="D56" s="1">
        <f t="shared" si="10"/>
        <v>0</v>
      </c>
      <c r="E56" s="1">
        <f t="shared" si="11"/>
        <v>0</v>
      </c>
      <c r="F56" s="1" t="str">
        <f t="shared" si="12"/>
        <v>0%</v>
      </c>
      <c r="G56" s="2"/>
      <c r="H56" s="1">
        <f t="shared" si="13"/>
        <v>0</v>
      </c>
      <c r="I56" s="1">
        <v>0</v>
      </c>
      <c r="J56" s="1">
        <v>0</v>
      </c>
      <c r="K56" s="1" t="str">
        <f t="shared" si="14"/>
        <v>0%</v>
      </c>
      <c r="L56" s="2"/>
      <c r="M56" s="1">
        <f t="shared" si="15"/>
        <v>0</v>
      </c>
      <c r="N56" s="1">
        <v>0</v>
      </c>
      <c r="O56" s="1">
        <v>0</v>
      </c>
      <c r="P56" s="1" t="str">
        <f t="shared" si="16"/>
        <v>0%</v>
      </c>
      <c r="Q56" s="2"/>
      <c r="R56" s="1">
        <f t="shared" si="17"/>
        <v>0</v>
      </c>
      <c r="S56" s="1">
        <v>0</v>
      </c>
      <c r="T56" s="1">
        <v>0</v>
      </c>
      <c r="U56" s="1" t="str">
        <f t="shared" si="18"/>
        <v>0%</v>
      </c>
      <c r="V56" s="2"/>
      <c r="W56" s="1">
        <f t="shared" si="19"/>
        <v>0</v>
      </c>
      <c r="X56" s="1">
        <v>0</v>
      </c>
      <c r="Y56" s="1">
        <v>0</v>
      </c>
      <c r="Z56" s="1" t="str">
        <f t="shared" si="20"/>
        <v>0%</v>
      </c>
      <c r="AA56" s="3"/>
    </row>
    <row r="57" spans="1:27" x14ac:dyDescent="0.25">
      <c r="A57" s="1" t="s">
        <v>53</v>
      </c>
      <c r="B57" s="2"/>
      <c r="C57" s="1">
        <f t="shared" si="9"/>
        <v>0</v>
      </c>
      <c r="D57" s="1">
        <f t="shared" si="10"/>
        <v>0</v>
      </c>
      <c r="E57" s="1">
        <f t="shared" si="11"/>
        <v>0</v>
      </c>
      <c r="F57" s="1" t="str">
        <f t="shared" si="12"/>
        <v>0%</v>
      </c>
      <c r="G57" s="2"/>
      <c r="H57" s="1">
        <f t="shared" si="13"/>
        <v>0</v>
      </c>
      <c r="I57" s="1">
        <v>0</v>
      </c>
      <c r="J57" s="1">
        <v>0</v>
      </c>
      <c r="K57" s="1" t="str">
        <f t="shared" si="14"/>
        <v>0%</v>
      </c>
      <c r="L57" s="2"/>
      <c r="M57" s="1">
        <f t="shared" si="15"/>
        <v>0</v>
      </c>
      <c r="N57" s="1">
        <v>0</v>
      </c>
      <c r="O57" s="1">
        <v>0</v>
      </c>
      <c r="P57" s="1" t="str">
        <f t="shared" si="16"/>
        <v>0%</v>
      </c>
      <c r="Q57" s="2"/>
      <c r="R57" s="1">
        <f t="shared" si="17"/>
        <v>0</v>
      </c>
      <c r="S57" s="1">
        <v>0</v>
      </c>
      <c r="T57" s="1">
        <v>0</v>
      </c>
      <c r="U57" s="1" t="str">
        <f t="shared" si="18"/>
        <v>0%</v>
      </c>
      <c r="V57" s="2"/>
      <c r="W57" s="1">
        <f t="shared" si="19"/>
        <v>0</v>
      </c>
      <c r="X57" s="1">
        <v>0</v>
      </c>
      <c r="Y57" s="1">
        <v>0</v>
      </c>
      <c r="Z57" s="1" t="str">
        <f t="shared" si="20"/>
        <v>0%</v>
      </c>
      <c r="AA57" s="3"/>
    </row>
    <row r="58" spans="1:27" x14ac:dyDescent="0.25">
      <c r="A58" s="1" t="s">
        <v>54</v>
      </c>
      <c r="B58" s="2"/>
      <c r="C58" s="1">
        <f t="shared" si="9"/>
        <v>0</v>
      </c>
      <c r="D58" s="1">
        <f t="shared" si="10"/>
        <v>0</v>
      </c>
      <c r="E58" s="1">
        <f t="shared" si="11"/>
        <v>0</v>
      </c>
      <c r="F58" s="1" t="str">
        <f t="shared" si="12"/>
        <v>0%</v>
      </c>
      <c r="G58" s="2"/>
      <c r="H58" s="1">
        <f t="shared" si="13"/>
        <v>0</v>
      </c>
      <c r="I58" s="1">
        <v>0</v>
      </c>
      <c r="J58" s="1">
        <v>0</v>
      </c>
      <c r="K58" s="1" t="str">
        <f t="shared" si="14"/>
        <v>0%</v>
      </c>
      <c r="L58" s="2"/>
      <c r="M58" s="1">
        <f t="shared" si="15"/>
        <v>0</v>
      </c>
      <c r="N58" s="1">
        <v>0</v>
      </c>
      <c r="O58" s="1">
        <v>0</v>
      </c>
      <c r="P58" s="1" t="str">
        <f t="shared" si="16"/>
        <v>0%</v>
      </c>
      <c r="Q58" s="2"/>
      <c r="R58" s="1">
        <f t="shared" si="17"/>
        <v>0</v>
      </c>
      <c r="S58" s="1">
        <v>0</v>
      </c>
      <c r="T58" s="1">
        <v>0</v>
      </c>
      <c r="U58" s="1" t="str">
        <f t="shared" si="18"/>
        <v>0%</v>
      </c>
      <c r="V58" s="2"/>
      <c r="W58" s="1">
        <f t="shared" si="19"/>
        <v>0</v>
      </c>
      <c r="X58" s="1">
        <v>0</v>
      </c>
      <c r="Y58" s="1">
        <v>0</v>
      </c>
      <c r="Z58" s="1" t="str">
        <f t="shared" si="20"/>
        <v>0%</v>
      </c>
      <c r="AA58" s="3"/>
    </row>
    <row r="59" spans="1:27" x14ac:dyDescent="0.25">
      <c r="A59" s="1" t="s">
        <v>55</v>
      </c>
      <c r="B59" s="2"/>
      <c r="C59" s="1">
        <f t="shared" si="9"/>
        <v>0</v>
      </c>
      <c r="D59" s="1">
        <f t="shared" si="10"/>
        <v>0</v>
      </c>
      <c r="E59" s="1">
        <f t="shared" si="11"/>
        <v>0</v>
      </c>
      <c r="F59" s="1" t="str">
        <f t="shared" si="12"/>
        <v>0%</v>
      </c>
      <c r="G59" s="2"/>
      <c r="H59" s="1">
        <f t="shared" si="13"/>
        <v>0</v>
      </c>
      <c r="I59" s="1">
        <v>0</v>
      </c>
      <c r="J59" s="1">
        <v>0</v>
      </c>
      <c r="K59" s="1" t="str">
        <f t="shared" si="14"/>
        <v>0%</v>
      </c>
      <c r="L59" s="2"/>
      <c r="M59" s="1">
        <f t="shared" si="15"/>
        <v>0</v>
      </c>
      <c r="N59" s="1">
        <v>0</v>
      </c>
      <c r="O59" s="1">
        <v>0</v>
      </c>
      <c r="P59" s="1" t="str">
        <f t="shared" si="16"/>
        <v>0%</v>
      </c>
      <c r="Q59" s="2"/>
      <c r="R59" s="1">
        <f t="shared" si="17"/>
        <v>0</v>
      </c>
      <c r="S59" s="1">
        <v>0</v>
      </c>
      <c r="T59" s="1">
        <v>0</v>
      </c>
      <c r="U59" s="1" t="str">
        <f t="shared" si="18"/>
        <v>0%</v>
      </c>
      <c r="V59" s="2"/>
      <c r="W59" s="1">
        <f t="shared" si="19"/>
        <v>0</v>
      </c>
      <c r="X59" s="1">
        <v>0</v>
      </c>
      <c r="Y59" s="1">
        <v>0</v>
      </c>
      <c r="Z59" s="1" t="str">
        <f t="shared" si="20"/>
        <v>0%</v>
      </c>
      <c r="AA59" s="3"/>
    </row>
    <row r="60" spans="1:27" x14ac:dyDescent="0.25">
      <c r="A60" s="1" t="s">
        <v>56</v>
      </c>
      <c r="B60" s="2"/>
      <c r="C60" s="1">
        <f t="shared" si="9"/>
        <v>0</v>
      </c>
      <c r="D60" s="1">
        <f t="shared" si="10"/>
        <v>0</v>
      </c>
      <c r="E60" s="1">
        <f t="shared" si="11"/>
        <v>0</v>
      </c>
      <c r="F60" s="1" t="str">
        <f t="shared" si="12"/>
        <v>0%</v>
      </c>
      <c r="G60" s="2"/>
      <c r="H60" s="1">
        <f t="shared" si="13"/>
        <v>0</v>
      </c>
      <c r="I60" s="1">
        <v>0</v>
      </c>
      <c r="J60" s="1">
        <v>0</v>
      </c>
      <c r="K60" s="1" t="str">
        <f t="shared" si="14"/>
        <v>0%</v>
      </c>
      <c r="L60" s="2"/>
      <c r="M60" s="1">
        <f t="shared" si="15"/>
        <v>0</v>
      </c>
      <c r="N60" s="1">
        <v>0</v>
      </c>
      <c r="O60" s="1">
        <v>0</v>
      </c>
      <c r="P60" s="1" t="str">
        <f t="shared" si="16"/>
        <v>0%</v>
      </c>
      <c r="Q60" s="2"/>
      <c r="R60" s="1">
        <f t="shared" si="17"/>
        <v>0</v>
      </c>
      <c r="S60" s="1">
        <v>0</v>
      </c>
      <c r="T60" s="1">
        <v>0</v>
      </c>
      <c r="U60" s="1" t="str">
        <f t="shared" si="18"/>
        <v>0%</v>
      </c>
      <c r="V60" s="2"/>
      <c r="W60" s="1">
        <f t="shared" si="19"/>
        <v>0</v>
      </c>
      <c r="X60" s="1">
        <v>0</v>
      </c>
      <c r="Y60" s="1">
        <v>0</v>
      </c>
      <c r="Z60" s="1" t="str">
        <f t="shared" si="20"/>
        <v>0%</v>
      </c>
      <c r="AA60" s="3"/>
    </row>
    <row r="61" spans="1:27" x14ac:dyDescent="0.25">
      <c r="A61" s="1" t="s">
        <v>57</v>
      </c>
      <c r="B61" s="2"/>
      <c r="C61" s="1">
        <f t="shared" si="9"/>
        <v>0</v>
      </c>
      <c r="D61" s="1">
        <f t="shared" si="10"/>
        <v>0</v>
      </c>
      <c r="E61" s="1">
        <f t="shared" si="11"/>
        <v>0</v>
      </c>
      <c r="F61" s="1" t="str">
        <f t="shared" si="12"/>
        <v>0%</v>
      </c>
      <c r="G61" s="2"/>
      <c r="H61" s="1">
        <f t="shared" si="13"/>
        <v>0</v>
      </c>
      <c r="I61" s="1">
        <v>0</v>
      </c>
      <c r="J61" s="1">
        <v>0</v>
      </c>
      <c r="K61" s="1" t="str">
        <f t="shared" si="14"/>
        <v>0%</v>
      </c>
      <c r="L61" s="2"/>
      <c r="M61" s="1">
        <f t="shared" si="15"/>
        <v>0</v>
      </c>
      <c r="N61" s="1">
        <v>0</v>
      </c>
      <c r="O61" s="1">
        <v>0</v>
      </c>
      <c r="P61" s="1" t="str">
        <f t="shared" si="16"/>
        <v>0%</v>
      </c>
      <c r="Q61" s="2"/>
      <c r="R61" s="1">
        <f t="shared" si="17"/>
        <v>0</v>
      </c>
      <c r="S61" s="1">
        <v>0</v>
      </c>
      <c r="T61" s="1">
        <v>0</v>
      </c>
      <c r="U61" s="1" t="str">
        <f t="shared" si="18"/>
        <v>0%</v>
      </c>
      <c r="V61" s="2"/>
      <c r="W61" s="1">
        <f t="shared" si="19"/>
        <v>0</v>
      </c>
      <c r="X61" s="1">
        <v>0</v>
      </c>
      <c r="Y61" s="1">
        <v>0</v>
      </c>
      <c r="Z61" s="1" t="str">
        <f t="shared" si="20"/>
        <v>0%</v>
      </c>
      <c r="AA61" s="3"/>
    </row>
    <row r="62" spans="1:27" x14ac:dyDescent="0.25">
      <c r="A62" s="1" t="s">
        <v>58</v>
      </c>
      <c r="B62" s="2"/>
      <c r="C62" s="1">
        <f t="shared" si="9"/>
        <v>0</v>
      </c>
      <c r="D62" s="1">
        <f t="shared" si="10"/>
        <v>0</v>
      </c>
      <c r="E62" s="1">
        <f t="shared" si="11"/>
        <v>0</v>
      </c>
      <c r="F62" s="1" t="str">
        <f t="shared" si="12"/>
        <v>0%</v>
      </c>
      <c r="G62" s="2"/>
      <c r="H62" s="1">
        <f t="shared" si="13"/>
        <v>0</v>
      </c>
      <c r="I62" s="1">
        <v>0</v>
      </c>
      <c r="J62" s="1">
        <v>0</v>
      </c>
      <c r="K62" s="1" t="str">
        <f t="shared" si="14"/>
        <v>0%</v>
      </c>
      <c r="L62" s="2"/>
      <c r="M62" s="1">
        <f t="shared" si="15"/>
        <v>0</v>
      </c>
      <c r="N62" s="1">
        <v>0</v>
      </c>
      <c r="O62" s="1">
        <v>0</v>
      </c>
      <c r="P62" s="1" t="str">
        <f t="shared" si="16"/>
        <v>0%</v>
      </c>
      <c r="Q62" s="2"/>
      <c r="R62" s="1">
        <f t="shared" si="17"/>
        <v>0</v>
      </c>
      <c r="S62" s="1">
        <v>0</v>
      </c>
      <c r="T62" s="1">
        <v>0</v>
      </c>
      <c r="U62" s="1" t="str">
        <f t="shared" si="18"/>
        <v>0%</v>
      </c>
      <c r="V62" s="2"/>
      <c r="W62" s="1">
        <f t="shared" si="19"/>
        <v>0</v>
      </c>
      <c r="X62" s="1">
        <v>0</v>
      </c>
      <c r="Y62" s="1">
        <v>0</v>
      </c>
      <c r="Z62" s="1" t="str">
        <f t="shared" si="20"/>
        <v>0%</v>
      </c>
      <c r="AA62" s="3"/>
    </row>
    <row r="63" spans="1:27" x14ac:dyDescent="0.25">
      <c r="A63" s="1" t="s">
        <v>59</v>
      </c>
      <c r="B63" s="2"/>
      <c r="C63" s="1">
        <f t="shared" si="9"/>
        <v>0</v>
      </c>
      <c r="D63" s="1">
        <f t="shared" si="10"/>
        <v>0</v>
      </c>
      <c r="E63" s="1">
        <f t="shared" si="11"/>
        <v>0</v>
      </c>
      <c r="F63" s="1" t="str">
        <f t="shared" si="12"/>
        <v>0%</v>
      </c>
      <c r="G63" s="2"/>
      <c r="H63" s="1">
        <f t="shared" si="13"/>
        <v>0</v>
      </c>
      <c r="I63" s="1">
        <v>0</v>
      </c>
      <c r="J63" s="1">
        <v>0</v>
      </c>
      <c r="K63" s="1" t="str">
        <f t="shared" si="14"/>
        <v>0%</v>
      </c>
      <c r="L63" s="2"/>
      <c r="M63" s="1">
        <f t="shared" si="15"/>
        <v>0</v>
      </c>
      <c r="N63" s="1">
        <v>0</v>
      </c>
      <c r="O63" s="1">
        <v>0</v>
      </c>
      <c r="P63" s="1" t="str">
        <f t="shared" si="16"/>
        <v>0%</v>
      </c>
      <c r="Q63" s="2"/>
      <c r="R63" s="1">
        <f t="shared" si="17"/>
        <v>0</v>
      </c>
      <c r="S63" s="1">
        <v>0</v>
      </c>
      <c r="T63" s="1">
        <v>0</v>
      </c>
      <c r="U63" s="1" t="str">
        <f t="shared" si="18"/>
        <v>0%</v>
      </c>
      <c r="V63" s="2"/>
      <c r="W63" s="1">
        <f t="shared" si="19"/>
        <v>0</v>
      </c>
      <c r="X63" s="1">
        <v>0</v>
      </c>
      <c r="Y63" s="1">
        <v>0</v>
      </c>
      <c r="Z63" s="1" t="str">
        <f t="shared" si="20"/>
        <v>0%</v>
      </c>
      <c r="AA63" s="3"/>
    </row>
    <row r="64" spans="1:27" x14ac:dyDescent="0.25">
      <c r="A64" s="1" t="s">
        <v>60</v>
      </c>
      <c r="B64" s="2"/>
      <c r="C64" s="1">
        <f t="shared" si="9"/>
        <v>0</v>
      </c>
      <c r="D64" s="1">
        <f t="shared" si="10"/>
        <v>0</v>
      </c>
      <c r="E64" s="1">
        <f t="shared" si="11"/>
        <v>0</v>
      </c>
      <c r="F64" s="1" t="str">
        <f t="shared" si="12"/>
        <v>0%</v>
      </c>
      <c r="G64" s="2"/>
      <c r="H64" s="1">
        <f t="shared" si="13"/>
        <v>0</v>
      </c>
      <c r="I64" s="1">
        <v>0</v>
      </c>
      <c r="J64" s="1">
        <v>0</v>
      </c>
      <c r="K64" s="1" t="str">
        <f t="shared" si="14"/>
        <v>0%</v>
      </c>
      <c r="L64" s="2"/>
      <c r="M64" s="1">
        <f t="shared" si="15"/>
        <v>0</v>
      </c>
      <c r="N64" s="1">
        <v>0</v>
      </c>
      <c r="O64" s="1">
        <v>0</v>
      </c>
      <c r="P64" s="1" t="str">
        <f t="shared" si="16"/>
        <v>0%</v>
      </c>
      <c r="Q64" s="2"/>
      <c r="R64" s="1">
        <f t="shared" si="17"/>
        <v>0</v>
      </c>
      <c r="S64" s="1">
        <v>0</v>
      </c>
      <c r="T64" s="1">
        <v>0</v>
      </c>
      <c r="U64" s="1" t="str">
        <f t="shared" si="18"/>
        <v>0%</v>
      </c>
      <c r="V64" s="2"/>
      <c r="W64" s="1">
        <f t="shared" si="19"/>
        <v>0</v>
      </c>
      <c r="X64" s="1">
        <v>0</v>
      </c>
      <c r="Y64" s="1">
        <v>0</v>
      </c>
      <c r="Z64" s="1" t="str">
        <f t="shared" si="20"/>
        <v>0%</v>
      </c>
      <c r="AA64" s="3"/>
    </row>
    <row r="65" spans="1:27" x14ac:dyDescent="0.25">
      <c r="A65" s="1" t="s">
        <v>61</v>
      </c>
      <c r="B65" s="2"/>
      <c r="C65" s="1">
        <f t="shared" si="9"/>
        <v>0</v>
      </c>
      <c r="D65" s="1">
        <f t="shared" si="10"/>
        <v>0</v>
      </c>
      <c r="E65" s="1">
        <f t="shared" si="11"/>
        <v>0</v>
      </c>
      <c r="F65" s="1" t="str">
        <f t="shared" si="12"/>
        <v>0%</v>
      </c>
      <c r="G65" s="2"/>
      <c r="H65" s="1">
        <f t="shared" si="13"/>
        <v>0</v>
      </c>
      <c r="I65" s="1">
        <v>0</v>
      </c>
      <c r="J65" s="1">
        <v>0</v>
      </c>
      <c r="K65" s="1" t="str">
        <f t="shared" si="14"/>
        <v>0%</v>
      </c>
      <c r="L65" s="2"/>
      <c r="M65" s="1">
        <f t="shared" si="15"/>
        <v>0</v>
      </c>
      <c r="N65" s="1">
        <v>0</v>
      </c>
      <c r="O65" s="1">
        <v>0</v>
      </c>
      <c r="P65" s="1" t="str">
        <f t="shared" si="16"/>
        <v>0%</v>
      </c>
      <c r="Q65" s="2"/>
      <c r="R65" s="1">
        <f t="shared" si="17"/>
        <v>0</v>
      </c>
      <c r="S65" s="1">
        <v>0</v>
      </c>
      <c r="T65" s="1">
        <v>0</v>
      </c>
      <c r="U65" s="1" t="str">
        <f t="shared" si="18"/>
        <v>0%</v>
      </c>
      <c r="V65" s="2"/>
      <c r="W65" s="1">
        <f t="shared" si="19"/>
        <v>0</v>
      </c>
      <c r="X65" s="1">
        <v>0</v>
      </c>
      <c r="Y65" s="1">
        <v>0</v>
      </c>
      <c r="Z65" s="1" t="str">
        <f t="shared" si="20"/>
        <v>0%</v>
      </c>
      <c r="AA65" s="3"/>
    </row>
    <row r="66" spans="1:27" x14ac:dyDescent="0.25">
      <c r="A66" s="1" t="s">
        <v>62</v>
      </c>
      <c r="B66" s="2"/>
      <c r="C66" s="1">
        <f t="shared" si="9"/>
        <v>0</v>
      </c>
      <c r="D66" s="1">
        <f t="shared" si="10"/>
        <v>0</v>
      </c>
      <c r="E66" s="1">
        <f t="shared" si="11"/>
        <v>0</v>
      </c>
      <c r="F66" s="1" t="str">
        <f t="shared" si="12"/>
        <v>0%</v>
      </c>
      <c r="G66" s="2"/>
      <c r="H66" s="1">
        <f t="shared" si="13"/>
        <v>0</v>
      </c>
      <c r="I66" s="1">
        <v>0</v>
      </c>
      <c r="J66" s="1">
        <v>0</v>
      </c>
      <c r="K66" s="1" t="str">
        <f t="shared" si="14"/>
        <v>0%</v>
      </c>
      <c r="L66" s="2"/>
      <c r="M66" s="1">
        <f t="shared" si="15"/>
        <v>0</v>
      </c>
      <c r="N66" s="1">
        <v>0</v>
      </c>
      <c r="O66" s="1">
        <v>0</v>
      </c>
      <c r="P66" s="1" t="str">
        <f t="shared" si="16"/>
        <v>0%</v>
      </c>
      <c r="Q66" s="2"/>
      <c r="R66" s="1">
        <f t="shared" si="17"/>
        <v>0</v>
      </c>
      <c r="S66" s="1">
        <v>0</v>
      </c>
      <c r="T66" s="1">
        <v>0</v>
      </c>
      <c r="U66" s="1" t="str">
        <f t="shared" si="18"/>
        <v>0%</v>
      </c>
      <c r="V66" s="2"/>
      <c r="W66" s="1">
        <f t="shared" si="19"/>
        <v>0</v>
      </c>
      <c r="X66" s="1">
        <v>0</v>
      </c>
      <c r="Y66" s="1">
        <v>0</v>
      </c>
      <c r="Z66" s="1" t="str">
        <f t="shared" si="20"/>
        <v>0%</v>
      </c>
      <c r="AA66" s="3"/>
    </row>
    <row r="67" spans="1:27" x14ac:dyDescent="0.25">
      <c r="A67" s="1" t="s">
        <v>63</v>
      </c>
      <c r="B67" s="2"/>
      <c r="C67" s="1">
        <f t="shared" si="9"/>
        <v>0</v>
      </c>
      <c r="D67" s="1">
        <f t="shared" si="10"/>
        <v>0</v>
      </c>
      <c r="E67" s="1">
        <f t="shared" si="11"/>
        <v>0</v>
      </c>
      <c r="F67" s="1" t="str">
        <f t="shared" si="12"/>
        <v>0%</v>
      </c>
      <c r="G67" s="2"/>
      <c r="H67" s="1">
        <f t="shared" si="13"/>
        <v>0</v>
      </c>
      <c r="I67" s="1">
        <v>0</v>
      </c>
      <c r="J67" s="1">
        <v>0</v>
      </c>
      <c r="K67" s="1" t="str">
        <f t="shared" si="14"/>
        <v>0%</v>
      </c>
      <c r="L67" s="2"/>
      <c r="M67" s="1">
        <f t="shared" si="15"/>
        <v>0</v>
      </c>
      <c r="N67" s="1">
        <v>0</v>
      </c>
      <c r="O67" s="1">
        <v>0</v>
      </c>
      <c r="P67" s="1" t="str">
        <f t="shared" si="16"/>
        <v>0%</v>
      </c>
      <c r="Q67" s="2"/>
      <c r="R67" s="1">
        <f t="shared" si="17"/>
        <v>0</v>
      </c>
      <c r="S67" s="1">
        <v>0</v>
      </c>
      <c r="T67" s="1">
        <v>0</v>
      </c>
      <c r="U67" s="1" t="str">
        <f t="shared" si="18"/>
        <v>0%</v>
      </c>
      <c r="V67" s="2"/>
      <c r="W67" s="1">
        <f t="shared" si="19"/>
        <v>0</v>
      </c>
      <c r="X67" s="1">
        <v>0</v>
      </c>
      <c r="Y67" s="1">
        <v>0</v>
      </c>
      <c r="Z67" s="1" t="str">
        <f t="shared" si="20"/>
        <v>0%</v>
      </c>
      <c r="AA67" s="3"/>
    </row>
    <row r="68" spans="1:27" x14ac:dyDescent="0.25">
      <c r="A68" s="1" t="s">
        <v>64</v>
      </c>
      <c r="B68" s="2"/>
      <c r="C68" s="1">
        <f t="shared" si="9"/>
        <v>0</v>
      </c>
      <c r="D68" s="1">
        <f t="shared" si="10"/>
        <v>0</v>
      </c>
      <c r="E68" s="1">
        <f t="shared" si="11"/>
        <v>0</v>
      </c>
      <c r="F68" s="1" t="str">
        <f t="shared" si="12"/>
        <v>0%</v>
      </c>
      <c r="G68" s="2"/>
      <c r="H68" s="1">
        <f t="shared" si="13"/>
        <v>0</v>
      </c>
      <c r="I68" s="1">
        <v>0</v>
      </c>
      <c r="J68" s="1">
        <v>0</v>
      </c>
      <c r="K68" s="1" t="str">
        <f t="shared" si="14"/>
        <v>0%</v>
      </c>
      <c r="L68" s="2"/>
      <c r="M68" s="1">
        <f t="shared" si="15"/>
        <v>0</v>
      </c>
      <c r="N68" s="1">
        <v>0</v>
      </c>
      <c r="O68" s="1">
        <v>0</v>
      </c>
      <c r="P68" s="1" t="str">
        <f t="shared" si="16"/>
        <v>0%</v>
      </c>
      <c r="Q68" s="2"/>
      <c r="R68" s="1">
        <f t="shared" si="17"/>
        <v>0</v>
      </c>
      <c r="S68" s="1">
        <v>0</v>
      </c>
      <c r="T68" s="1">
        <v>0</v>
      </c>
      <c r="U68" s="1" t="str">
        <f t="shared" si="18"/>
        <v>0%</v>
      </c>
      <c r="V68" s="2"/>
      <c r="W68" s="1">
        <f t="shared" si="19"/>
        <v>0</v>
      </c>
      <c r="X68" s="1">
        <v>0</v>
      </c>
      <c r="Y68" s="1">
        <v>0</v>
      </c>
      <c r="Z68" s="1" t="str">
        <f t="shared" si="20"/>
        <v>0%</v>
      </c>
      <c r="AA68" s="3"/>
    </row>
    <row r="69" spans="1:27" x14ac:dyDescent="0.25">
      <c r="A69" s="1" t="s">
        <v>65</v>
      </c>
      <c r="B69" s="2"/>
      <c r="C69" s="1">
        <f t="shared" si="9"/>
        <v>0</v>
      </c>
      <c r="D69" s="1">
        <f t="shared" si="10"/>
        <v>0</v>
      </c>
      <c r="E69" s="1">
        <f t="shared" si="11"/>
        <v>0</v>
      </c>
      <c r="F69" s="1" t="str">
        <f t="shared" ref="F69:F75" si="21">IF(C69,ROUND(D69/C69*100,2),0) &amp; "%"</f>
        <v>0%</v>
      </c>
      <c r="G69" s="2"/>
      <c r="H69" s="1">
        <f t="shared" ref="H69:H75" si="22">SUM(I69,J69)</f>
        <v>0</v>
      </c>
      <c r="I69" s="1">
        <v>0</v>
      </c>
      <c r="J69" s="1">
        <v>0</v>
      </c>
      <c r="K69" s="1" t="str">
        <f t="shared" ref="K69:K75" si="23">IF(H69,ROUND(I69/H69*100,2),0) &amp; "%"</f>
        <v>0%</v>
      </c>
      <c r="L69" s="2"/>
      <c r="M69" s="1">
        <f t="shared" ref="M69:M75" si="24">SUM(N69,O69)</f>
        <v>0</v>
      </c>
      <c r="N69" s="1">
        <v>0</v>
      </c>
      <c r="O69" s="1">
        <v>0</v>
      </c>
      <c r="P69" s="1" t="str">
        <f t="shared" ref="P69:P75" si="25">IF(M69,ROUND(N69/M69*100,2),0) &amp; "%"</f>
        <v>0%</v>
      </c>
      <c r="Q69" s="2"/>
      <c r="R69" s="1">
        <f t="shared" ref="R69:R75" si="26">SUM(S69,T69)</f>
        <v>0</v>
      </c>
      <c r="S69" s="1">
        <v>0</v>
      </c>
      <c r="T69" s="1">
        <v>0</v>
      </c>
      <c r="U69" s="1" t="str">
        <f t="shared" ref="U69:U75" si="27">IF(R69,ROUND(S69/R69*100,2),0) &amp; "%"</f>
        <v>0%</v>
      </c>
      <c r="V69" s="2"/>
      <c r="W69" s="1">
        <f t="shared" ref="W69:W75" si="28">SUM(X69,Y69)</f>
        <v>0</v>
      </c>
      <c r="X69" s="1">
        <v>0</v>
      </c>
      <c r="Y69" s="1">
        <v>0</v>
      </c>
      <c r="Z69" s="1" t="str">
        <f t="shared" ref="Z69:Z75" si="29">IF(W69,ROUND(X69/W69*100,2),0) &amp; "%"</f>
        <v>0%</v>
      </c>
      <c r="AA69" s="3"/>
    </row>
    <row r="70" spans="1:27" x14ac:dyDescent="0.25">
      <c r="A70" s="1" t="s">
        <v>66</v>
      </c>
      <c r="B70" s="2"/>
      <c r="C70" s="1">
        <f t="shared" ref="C70:C74" si="30">SUM(D70,E70)</f>
        <v>0</v>
      </c>
      <c r="D70" s="1">
        <f t="shared" ref="D70:D74" si="31">SUM(I70,N70,S70,X70)</f>
        <v>0</v>
      </c>
      <c r="E70" s="1">
        <f t="shared" ref="E70:E74" si="32">SUM(J70,O70,T70,Y70)</f>
        <v>0</v>
      </c>
      <c r="F70" s="1" t="str">
        <f t="shared" si="21"/>
        <v>0%</v>
      </c>
      <c r="G70" s="2"/>
      <c r="H70" s="1">
        <f t="shared" si="22"/>
        <v>0</v>
      </c>
      <c r="I70" s="1">
        <v>0</v>
      </c>
      <c r="J70" s="1">
        <v>0</v>
      </c>
      <c r="K70" s="1" t="str">
        <f t="shared" si="23"/>
        <v>0%</v>
      </c>
      <c r="L70" s="2"/>
      <c r="M70" s="1">
        <f t="shared" si="24"/>
        <v>0</v>
      </c>
      <c r="N70" s="1">
        <v>0</v>
      </c>
      <c r="O70" s="1">
        <v>0</v>
      </c>
      <c r="P70" s="1" t="str">
        <f t="shared" si="25"/>
        <v>0%</v>
      </c>
      <c r="Q70" s="2"/>
      <c r="R70" s="1">
        <f t="shared" si="26"/>
        <v>0</v>
      </c>
      <c r="S70" s="1">
        <v>0</v>
      </c>
      <c r="T70" s="1">
        <v>0</v>
      </c>
      <c r="U70" s="1" t="str">
        <f t="shared" si="27"/>
        <v>0%</v>
      </c>
      <c r="V70" s="2"/>
      <c r="W70" s="1">
        <f t="shared" si="28"/>
        <v>0</v>
      </c>
      <c r="X70" s="1">
        <v>0</v>
      </c>
      <c r="Y70" s="1">
        <v>0</v>
      </c>
      <c r="Z70" s="1" t="str">
        <f t="shared" si="29"/>
        <v>0%</v>
      </c>
      <c r="AA70" s="3"/>
    </row>
    <row r="71" spans="1:27" x14ac:dyDescent="0.25">
      <c r="A71" s="1" t="s">
        <v>67</v>
      </c>
      <c r="B71" s="2"/>
      <c r="C71" s="1">
        <f t="shared" si="30"/>
        <v>0</v>
      </c>
      <c r="D71" s="1">
        <f t="shared" si="31"/>
        <v>0</v>
      </c>
      <c r="E71" s="1">
        <f t="shared" si="32"/>
        <v>0</v>
      </c>
      <c r="F71" s="1" t="str">
        <f t="shared" si="21"/>
        <v>0%</v>
      </c>
      <c r="G71" s="2"/>
      <c r="H71" s="1">
        <f t="shared" si="22"/>
        <v>0</v>
      </c>
      <c r="I71" s="1">
        <v>0</v>
      </c>
      <c r="J71" s="1">
        <v>0</v>
      </c>
      <c r="K71" s="1" t="str">
        <f t="shared" si="23"/>
        <v>0%</v>
      </c>
      <c r="L71" s="2"/>
      <c r="M71" s="1">
        <f t="shared" si="24"/>
        <v>0</v>
      </c>
      <c r="N71" s="1">
        <v>0</v>
      </c>
      <c r="O71" s="1">
        <v>0</v>
      </c>
      <c r="P71" s="1" t="str">
        <f t="shared" si="25"/>
        <v>0%</v>
      </c>
      <c r="Q71" s="2"/>
      <c r="R71" s="1">
        <f t="shared" si="26"/>
        <v>0</v>
      </c>
      <c r="S71" s="1">
        <v>0</v>
      </c>
      <c r="T71" s="1">
        <v>0</v>
      </c>
      <c r="U71" s="1" t="str">
        <f t="shared" si="27"/>
        <v>0%</v>
      </c>
      <c r="V71" s="2"/>
      <c r="W71" s="1">
        <f t="shared" si="28"/>
        <v>0</v>
      </c>
      <c r="X71" s="1">
        <v>0</v>
      </c>
      <c r="Y71" s="1">
        <v>0</v>
      </c>
      <c r="Z71" s="1" t="str">
        <f t="shared" si="29"/>
        <v>0%</v>
      </c>
      <c r="AA71" s="3"/>
    </row>
    <row r="72" spans="1:27" x14ac:dyDescent="0.25">
      <c r="A72" s="1" t="s">
        <v>68</v>
      </c>
      <c r="B72" s="2"/>
      <c r="C72" s="1">
        <f t="shared" si="30"/>
        <v>0</v>
      </c>
      <c r="D72" s="1">
        <f t="shared" si="31"/>
        <v>0</v>
      </c>
      <c r="E72" s="1">
        <f t="shared" si="32"/>
        <v>0</v>
      </c>
      <c r="F72" s="1" t="str">
        <f t="shared" si="21"/>
        <v>0%</v>
      </c>
      <c r="G72" s="2"/>
      <c r="H72" s="1">
        <f t="shared" si="22"/>
        <v>0</v>
      </c>
      <c r="I72" s="1">
        <v>0</v>
      </c>
      <c r="J72" s="1">
        <v>0</v>
      </c>
      <c r="K72" s="1" t="str">
        <f t="shared" si="23"/>
        <v>0%</v>
      </c>
      <c r="L72" s="2"/>
      <c r="M72" s="1">
        <f t="shared" si="24"/>
        <v>0</v>
      </c>
      <c r="N72" s="1">
        <v>0</v>
      </c>
      <c r="O72" s="1">
        <v>0</v>
      </c>
      <c r="P72" s="1" t="str">
        <f t="shared" si="25"/>
        <v>0%</v>
      </c>
      <c r="Q72" s="2"/>
      <c r="R72" s="1">
        <f t="shared" si="26"/>
        <v>0</v>
      </c>
      <c r="S72" s="1">
        <v>0</v>
      </c>
      <c r="T72" s="1">
        <v>0</v>
      </c>
      <c r="U72" s="1" t="str">
        <f t="shared" si="27"/>
        <v>0%</v>
      </c>
      <c r="V72" s="2"/>
      <c r="W72" s="1">
        <f t="shared" si="28"/>
        <v>0</v>
      </c>
      <c r="X72" s="1">
        <v>0</v>
      </c>
      <c r="Y72" s="1">
        <v>0</v>
      </c>
      <c r="Z72" s="1" t="str">
        <f t="shared" si="29"/>
        <v>0%</v>
      </c>
      <c r="AA72" s="3"/>
    </row>
    <row r="73" spans="1:27" x14ac:dyDescent="0.25">
      <c r="A73" s="1" t="s">
        <v>69</v>
      </c>
      <c r="B73" s="2"/>
      <c r="C73" s="1">
        <f t="shared" si="30"/>
        <v>0</v>
      </c>
      <c r="D73" s="1">
        <f t="shared" si="31"/>
        <v>0</v>
      </c>
      <c r="E73" s="1">
        <f t="shared" si="32"/>
        <v>0</v>
      </c>
      <c r="F73" s="1" t="str">
        <f t="shared" si="21"/>
        <v>0%</v>
      </c>
      <c r="G73" s="2"/>
      <c r="H73" s="1">
        <f t="shared" si="22"/>
        <v>0</v>
      </c>
      <c r="I73" s="1">
        <v>0</v>
      </c>
      <c r="J73" s="1">
        <v>0</v>
      </c>
      <c r="K73" s="1" t="str">
        <f t="shared" si="23"/>
        <v>0%</v>
      </c>
      <c r="L73" s="2"/>
      <c r="M73" s="1">
        <f t="shared" si="24"/>
        <v>0</v>
      </c>
      <c r="N73" s="1">
        <v>0</v>
      </c>
      <c r="O73" s="1">
        <v>0</v>
      </c>
      <c r="P73" s="1" t="str">
        <f t="shared" si="25"/>
        <v>0%</v>
      </c>
      <c r="Q73" s="2"/>
      <c r="R73" s="1">
        <f t="shared" si="26"/>
        <v>0</v>
      </c>
      <c r="S73" s="1">
        <v>0</v>
      </c>
      <c r="T73" s="1">
        <v>0</v>
      </c>
      <c r="U73" s="1" t="str">
        <f t="shared" si="27"/>
        <v>0%</v>
      </c>
      <c r="V73" s="2"/>
      <c r="W73" s="1">
        <f t="shared" si="28"/>
        <v>0</v>
      </c>
      <c r="X73" s="1">
        <v>0</v>
      </c>
      <c r="Y73" s="1">
        <v>0</v>
      </c>
      <c r="Z73" s="1" t="str">
        <f t="shared" si="29"/>
        <v>0%</v>
      </c>
      <c r="AA73" s="3"/>
    </row>
    <row r="74" spans="1:27" x14ac:dyDescent="0.25">
      <c r="A74" s="1" t="s">
        <v>150</v>
      </c>
      <c r="B74" s="2"/>
      <c r="C74" s="1">
        <f t="shared" si="30"/>
        <v>0</v>
      </c>
      <c r="D74" s="1">
        <f t="shared" si="31"/>
        <v>0</v>
      </c>
      <c r="E74" s="1">
        <f t="shared" si="32"/>
        <v>0</v>
      </c>
      <c r="F74" s="1" t="str">
        <f t="shared" si="21"/>
        <v>0%</v>
      </c>
      <c r="G74" s="2"/>
      <c r="H74" s="1">
        <f t="shared" si="22"/>
        <v>0</v>
      </c>
      <c r="I74" s="1">
        <v>0</v>
      </c>
      <c r="J74" s="1">
        <v>0</v>
      </c>
      <c r="K74" s="1" t="str">
        <f t="shared" si="23"/>
        <v>0%</v>
      </c>
      <c r="L74" s="2"/>
      <c r="M74" s="1">
        <f t="shared" si="24"/>
        <v>0</v>
      </c>
      <c r="N74" s="1">
        <v>0</v>
      </c>
      <c r="O74" s="1">
        <v>0</v>
      </c>
      <c r="P74" s="1" t="str">
        <f t="shared" si="25"/>
        <v>0%</v>
      </c>
      <c r="Q74" s="2"/>
      <c r="R74" s="1">
        <f t="shared" si="26"/>
        <v>0</v>
      </c>
      <c r="S74" s="1">
        <v>0</v>
      </c>
      <c r="T74" s="1">
        <v>0</v>
      </c>
      <c r="U74" s="1" t="str">
        <f t="shared" si="27"/>
        <v>0%</v>
      </c>
      <c r="V74" s="2"/>
      <c r="W74" s="1">
        <f t="shared" si="28"/>
        <v>0</v>
      </c>
      <c r="X74" s="1">
        <v>0</v>
      </c>
      <c r="Y74" s="1">
        <v>0</v>
      </c>
      <c r="Z74" s="1" t="str">
        <f t="shared" si="29"/>
        <v>0%</v>
      </c>
      <c r="AA74" s="3"/>
    </row>
    <row r="75" spans="1:27" x14ac:dyDescent="0.25">
      <c r="A75" s="1" t="s">
        <v>173</v>
      </c>
      <c r="B75" s="2"/>
      <c r="C75" s="1">
        <f>SUM(C5:C74)</f>
        <v>0</v>
      </c>
      <c r="D75" s="1">
        <f>SUM(D5:D74)</f>
        <v>0</v>
      </c>
      <c r="E75" s="1">
        <f>SUM(E5:E74)</f>
        <v>0</v>
      </c>
      <c r="F75" s="1" t="str">
        <f t="shared" si="21"/>
        <v>0%</v>
      </c>
      <c r="G75" s="2"/>
      <c r="H75" s="1">
        <f t="shared" si="22"/>
        <v>0</v>
      </c>
      <c r="I75" s="1">
        <f>SUM(I5:I74)</f>
        <v>0</v>
      </c>
      <c r="J75" s="1">
        <f>SUM(J5:J74)</f>
        <v>0</v>
      </c>
      <c r="K75" s="1" t="str">
        <f t="shared" si="23"/>
        <v>0%</v>
      </c>
      <c r="L75" s="2"/>
      <c r="M75" s="1">
        <f t="shared" si="24"/>
        <v>0</v>
      </c>
      <c r="N75" s="1">
        <f>SUM(N5:N74)</f>
        <v>0</v>
      </c>
      <c r="O75" s="1">
        <f>SUM(O5:O74)</f>
        <v>0</v>
      </c>
      <c r="P75" s="1" t="str">
        <f t="shared" si="25"/>
        <v>0%</v>
      </c>
      <c r="Q75" s="2"/>
      <c r="R75" s="1">
        <f t="shared" si="26"/>
        <v>0</v>
      </c>
      <c r="S75" s="1">
        <f>SUM(S5:S74)</f>
        <v>0</v>
      </c>
      <c r="T75" s="1">
        <f>SUM(T5:T74)</f>
        <v>0</v>
      </c>
      <c r="U75" s="1" t="str">
        <f t="shared" si="27"/>
        <v>0%</v>
      </c>
      <c r="V75" s="2"/>
      <c r="W75" s="1">
        <f t="shared" si="28"/>
        <v>0</v>
      </c>
      <c r="X75" s="1">
        <f>SUM(X5:X74)</f>
        <v>0</v>
      </c>
      <c r="Y75" s="1">
        <f>SUM(Y5:Y74)</f>
        <v>0</v>
      </c>
      <c r="Z75" s="1" t="str">
        <f t="shared" si="29"/>
        <v>0%</v>
      </c>
      <c r="AA75" s="3"/>
    </row>
    <row r="76" spans="1:27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x14ac:dyDescent="0.25">
      <c r="A78" s="2" t="s">
        <v>75</v>
      </c>
      <c r="B78" s="5"/>
      <c r="C78" s="2" t="s">
        <v>71</v>
      </c>
      <c r="D78" s="2" t="s">
        <v>72</v>
      </c>
      <c r="E78" s="2" t="s">
        <v>147</v>
      </c>
      <c r="F78" s="2" t="s">
        <v>74</v>
      </c>
      <c r="G78" s="5"/>
      <c r="H78" s="2" t="s">
        <v>71</v>
      </c>
      <c r="I78" s="2" t="s">
        <v>72</v>
      </c>
      <c r="J78" s="2" t="s">
        <v>147</v>
      </c>
      <c r="K78" s="2" t="s">
        <v>74</v>
      </c>
      <c r="L78" s="5"/>
      <c r="M78" s="2" t="s">
        <v>73</v>
      </c>
      <c r="N78" s="2" t="s">
        <v>72</v>
      </c>
      <c r="O78" s="2" t="s">
        <v>147</v>
      </c>
      <c r="P78" s="2" t="s">
        <v>74</v>
      </c>
      <c r="Q78" s="5"/>
      <c r="R78" s="2" t="s">
        <v>71</v>
      </c>
      <c r="S78" s="2" t="s">
        <v>72</v>
      </c>
      <c r="T78" s="2" t="s">
        <v>147</v>
      </c>
      <c r="U78" s="2" t="s">
        <v>74</v>
      </c>
      <c r="V78" s="5"/>
      <c r="W78" s="2" t="s">
        <v>71</v>
      </c>
      <c r="X78" s="2" t="s">
        <v>72</v>
      </c>
      <c r="Y78" s="2" t="s">
        <v>147</v>
      </c>
      <c r="Z78" s="2" t="s">
        <v>74</v>
      </c>
      <c r="AA78" s="3"/>
    </row>
    <row r="79" spans="1:27" x14ac:dyDescent="0.25">
      <c r="A79" s="2" t="s">
        <v>76</v>
      </c>
      <c r="B79" s="5"/>
      <c r="C79" s="2">
        <f>SUM(D79,E79)</f>
        <v>0</v>
      </c>
      <c r="D79" s="2">
        <f>SUM(I79,N79,S79,X79)</f>
        <v>0</v>
      </c>
      <c r="E79" s="2">
        <f>SUM(J79,O79,T79,Y79)</f>
        <v>0</v>
      </c>
      <c r="F79" s="2" t="str">
        <f t="shared" ref="F79:F103" si="33">IF(C79,ROUND(D79/C79*100,2),0) &amp; "%"</f>
        <v>0%</v>
      </c>
      <c r="G79" s="5"/>
      <c r="H79" s="2">
        <f t="shared" ref="H79:H103" si="34">+SUM(I79,J79)</f>
        <v>0</v>
      </c>
      <c r="I79" s="2">
        <v>0</v>
      </c>
      <c r="J79" s="2">
        <v>0</v>
      </c>
      <c r="K79" s="2" t="str">
        <f t="shared" ref="K79:K103" si="35">IF(H79,ROUND(I79/H79*100,2),0) &amp; "%"</f>
        <v>0%</v>
      </c>
      <c r="L79" s="5"/>
      <c r="M79" s="2">
        <f t="shared" ref="M79:M103" si="36">+SUM(N79,O79)</f>
        <v>0</v>
      </c>
      <c r="N79" s="2">
        <v>0</v>
      </c>
      <c r="O79" s="2">
        <v>0</v>
      </c>
      <c r="P79" s="2" t="str">
        <f t="shared" ref="P79:P103" si="37">IF(M79,ROUND(N79/M79*100,2),0) &amp; "%"</f>
        <v>0%</v>
      </c>
      <c r="Q79" s="5"/>
      <c r="R79" s="2">
        <f t="shared" ref="R79:R103" si="38">+SUM(S79,T79)</f>
        <v>0</v>
      </c>
      <c r="S79" s="2">
        <v>0</v>
      </c>
      <c r="T79" s="2">
        <v>0</v>
      </c>
      <c r="U79" s="2" t="str">
        <f t="shared" ref="U79:U103" si="39">IF(R79,ROUND(S79/R79*100,2),0) &amp; "%"</f>
        <v>0%</v>
      </c>
      <c r="V79" s="5"/>
      <c r="W79" s="2">
        <f t="shared" ref="W79:W103" si="40">+SUM(X79,Y79)</f>
        <v>0</v>
      </c>
      <c r="X79" s="2">
        <v>0</v>
      </c>
      <c r="Y79" s="2">
        <v>0</v>
      </c>
      <c r="Z79" s="2" t="str">
        <f t="shared" ref="Z79:Z103" si="41">IF(W79,ROUND(X79/W79*100,2),0) &amp; "%"</f>
        <v>0%</v>
      </c>
      <c r="AA79" s="3"/>
    </row>
    <row r="80" spans="1:27" x14ac:dyDescent="0.25">
      <c r="A80" s="2" t="s">
        <v>77</v>
      </c>
      <c r="B80" s="5"/>
      <c r="C80" s="2">
        <f t="shared" ref="C80:C102" si="42">SUM(D80,E80)</f>
        <v>0</v>
      </c>
      <c r="D80" s="2">
        <f t="shared" ref="D80:D102" si="43">SUM(I80,N80,S80,X80)</f>
        <v>0</v>
      </c>
      <c r="E80" s="2">
        <f t="shared" ref="E80:E102" si="44">SUM(J80,O80,T80,Y80)</f>
        <v>0</v>
      </c>
      <c r="F80" s="2" t="str">
        <f t="shared" si="33"/>
        <v>0%</v>
      </c>
      <c r="G80" s="5"/>
      <c r="H80" s="2">
        <f t="shared" si="34"/>
        <v>0</v>
      </c>
      <c r="I80" s="2">
        <v>0</v>
      </c>
      <c r="J80" s="2">
        <v>0</v>
      </c>
      <c r="K80" s="2" t="str">
        <f t="shared" si="35"/>
        <v>0%</v>
      </c>
      <c r="L80" s="5"/>
      <c r="M80" s="2">
        <f t="shared" si="36"/>
        <v>0</v>
      </c>
      <c r="N80" s="2">
        <v>0</v>
      </c>
      <c r="O80" s="2">
        <v>0</v>
      </c>
      <c r="P80" s="2" t="str">
        <f t="shared" si="37"/>
        <v>0%</v>
      </c>
      <c r="Q80" s="5"/>
      <c r="R80" s="2">
        <f t="shared" si="38"/>
        <v>0</v>
      </c>
      <c r="S80" s="2">
        <v>0</v>
      </c>
      <c r="T80" s="2">
        <v>0</v>
      </c>
      <c r="U80" s="2" t="str">
        <f t="shared" si="39"/>
        <v>0%</v>
      </c>
      <c r="V80" s="5"/>
      <c r="W80" s="2">
        <f t="shared" si="40"/>
        <v>0</v>
      </c>
      <c r="X80" s="2">
        <v>0</v>
      </c>
      <c r="Y80" s="2">
        <v>0</v>
      </c>
      <c r="Z80" s="2" t="str">
        <f t="shared" si="41"/>
        <v>0%</v>
      </c>
      <c r="AA80" s="3"/>
    </row>
    <row r="81" spans="1:27" x14ac:dyDescent="0.25">
      <c r="A81" s="2" t="s">
        <v>78</v>
      </c>
      <c r="B81" s="5"/>
      <c r="C81" s="2">
        <f t="shared" si="42"/>
        <v>0</v>
      </c>
      <c r="D81" s="2">
        <f t="shared" si="43"/>
        <v>0</v>
      </c>
      <c r="E81" s="2">
        <f t="shared" si="44"/>
        <v>0</v>
      </c>
      <c r="F81" s="2" t="str">
        <f t="shared" si="33"/>
        <v>0%</v>
      </c>
      <c r="G81" s="5"/>
      <c r="H81" s="2">
        <f t="shared" si="34"/>
        <v>0</v>
      </c>
      <c r="I81" s="2">
        <v>0</v>
      </c>
      <c r="J81" s="2">
        <v>0</v>
      </c>
      <c r="K81" s="2" t="str">
        <f t="shared" si="35"/>
        <v>0%</v>
      </c>
      <c r="L81" s="5"/>
      <c r="M81" s="2">
        <f t="shared" si="36"/>
        <v>0</v>
      </c>
      <c r="N81" s="2">
        <v>0</v>
      </c>
      <c r="O81" s="2">
        <v>0</v>
      </c>
      <c r="P81" s="2" t="str">
        <f t="shared" si="37"/>
        <v>0%</v>
      </c>
      <c r="Q81" s="5"/>
      <c r="R81" s="2">
        <f t="shared" si="38"/>
        <v>0</v>
      </c>
      <c r="S81" s="2">
        <v>0</v>
      </c>
      <c r="T81" s="2">
        <v>0</v>
      </c>
      <c r="U81" s="2" t="str">
        <f t="shared" si="39"/>
        <v>0%</v>
      </c>
      <c r="V81" s="5"/>
      <c r="W81" s="2">
        <f t="shared" si="40"/>
        <v>0</v>
      </c>
      <c r="X81" s="2">
        <v>0</v>
      </c>
      <c r="Y81" s="2">
        <v>0</v>
      </c>
      <c r="Z81" s="2" t="str">
        <f t="shared" si="41"/>
        <v>0%</v>
      </c>
      <c r="AA81" s="3"/>
    </row>
    <row r="82" spans="1:27" x14ac:dyDescent="0.25">
      <c r="A82" s="2" t="s">
        <v>79</v>
      </c>
      <c r="B82" s="5"/>
      <c r="C82" s="2">
        <f t="shared" si="42"/>
        <v>0</v>
      </c>
      <c r="D82" s="2">
        <f t="shared" si="43"/>
        <v>0</v>
      </c>
      <c r="E82" s="2">
        <f t="shared" si="44"/>
        <v>0</v>
      </c>
      <c r="F82" s="2" t="str">
        <f t="shared" si="33"/>
        <v>0%</v>
      </c>
      <c r="G82" s="5"/>
      <c r="H82" s="2">
        <f t="shared" si="34"/>
        <v>0</v>
      </c>
      <c r="I82" s="2">
        <v>0</v>
      </c>
      <c r="J82" s="2">
        <v>0</v>
      </c>
      <c r="K82" s="2" t="str">
        <f t="shared" si="35"/>
        <v>0%</v>
      </c>
      <c r="L82" s="5"/>
      <c r="M82" s="2">
        <f t="shared" si="36"/>
        <v>0</v>
      </c>
      <c r="N82" s="2">
        <v>0</v>
      </c>
      <c r="O82" s="2">
        <v>0</v>
      </c>
      <c r="P82" s="2" t="str">
        <f t="shared" si="37"/>
        <v>0%</v>
      </c>
      <c r="Q82" s="5"/>
      <c r="R82" s="2">
        <f t="shared" si="38"/>
        <v>0</v>
      </c>
      <c r="S82" s="2">
        <v>0</v>
      </c>
      <c r="T82" s="2">
        <v>0</v>
      </c>
      <c r="U82" s="2" t="str">
        <f t="shared" si="39"/>
        <v>0%</v>
      </c>
      <c r="V82" s="5"/>
      <c r="W82" s="2">
        <f t="shared" si="40"/>
        <v>0</v>
      </c>
      <c r="X82" s="2">
        <v>0</v>
      </c>
      <c r="Y82" s="2">
        <v>0</v>
      </c>
      <c r="Z82" s="2" t="str">
        <f t="shared" si="41"/>
        <v>0%</v>
      </c>
      <c r="AA82" s="3"/>
    </row>
    <row r="83" spans="1:27" x14ac:dyDescent="0.25">
      <c r="A83" s="2" t="s">
        <v>80</v>
      </c>
      <c r="B83" s="5"/>
      <c r="C83" s="2">
        <f t="shared" si="42"/>
        <v>0</v>
      </c>
      <c r="D83" s="2">
        <f t="shared" si="43"/>
        <v>0</v>
      </c>
      <c r="E83" s="2">
        <f t="shared" si="44"/>
        <v>0</v>
      </c>
      <c r="F83" s="2" t="str">
        <f t="shared" si="33"/>
        <v>0%</v>
      </c>
      <c r="G83" s="5"/>
      <c r="H83" s="2">
        <f t="shared" si="34"/>
        <v>0</v>
      </c>
      <c r="I83" s="2">
        <v>0</v>
      </c>
      <c r="J83" s="2">
        <v>0</v>
      </c>
      <c r="K83" s="2" t="str">
        <f t="shared" si="35"/>
        <v>0%</v>
      </c>
      <c r="L83" s="5"/>
      <c r="M83" s="2">
        <f t="shared" si="36"/>
        <v>0</v>
      </c>
      <c r="N83" s="2">
        <v>0</v>
      </c>
      <c r="O83" s="2">
        <v>0</v>
      </c>
      <c r="P83" s="2" t="str">
        <f t="shared" si="37"/>
        <v>0%</v>
      </c>
      <c r="Q83" s="5"/>
      <c r="R83" s="2">
        <f t="shared" si="38"/>
        <v>0</v>
      </c>
      <c r="S83" s="2">
        <v>0</v>
      </c>
      <c r="T83" s="2">
        <v>0</v>
      </c>
      <c r="U83" s="2" t="str">
        <f t="shared" si="39"/>
        <v>0%</v>
      </c>
      <c r="V83" s="5"/>
      <c r="W83" s="2">
        <f t="shared" si="40"/>
        <v>0</v>
      </c>
      <c r="X83" s="2">
        <v>0</v>
      </c>
      <c r="Y83" s="2">
        <v>0</v>
      </c>
      <c r="Z83" s="2" t="str">
        <f t="shared" si="41"/>
        <v>0%</v>
      </c>
      <c r="AA83" s="3"/>
    </row>
    <row r="84" spans="1:27" x14ac:dyDescent="0.25">
      <c r="A84" s="2" t="s">
        <v>81</v>
      </c>
      <c r="B84" s="5"/>
      <c r="C84" s="2">
        <f t="shared" si="42"/>
        <v>0</v>
      </c>
      <c r="D84" s="2">
        <f t="shared" si="43"/>
        <v>0</v>
      </c>
      <c r="E84" s="2">
        <f t="shared" si="44"/>
        <v>0</v>
      </c>
      <c r="F84" s="2" t="str">
        <f t="shared" si="33"/>
        <v>0%</v>
      </c>
      <c r="G84" s="5"/>
      <c r="H84" s="2">
        <f t="shared" si="34"/>
        <v>0</v>
      </c>
      <c r="I84" s="2">
        <v>0</v>
      </c>
      <c r="J84" s="2">
        <v>0</v>
      </c>
      <c r="K84" s="2" t="str">
        <f t="shared" si="35"/>
        <v>0%</v>
      </c>
      <c r="L84" s="5"/>
      <c r="M84" s="2">
        <f t="shared" si="36"/>
        <v>0</v>
      </c>
      <c r="N84" s="2">
        <v>0</v>
      </c>
      <c r="O84" s="2">
        <v>0</v>
      </c>
      <c r="P84" s="2" t="str">
        <f t="shared" si="37"/>
        <v>0%</v>
      </c>
      <c r="Q84" s="5"/>
      <c r="R84" s="2">
        <f t="shared" si="38"/>
        <v>0</v>
      </c>
      <c r="S84" s="2">
        <v>0</v>
      </c>
      <c r="T84" s="2">
        <v>0</v>
      </c>
      <c r="U84" s="2" t="str">
        <f t="shared" si="39"/>
        <v>0%</v>
      </c>
      <c r="V84" s="5"/>
      <c r="W84" s="2">
        <f t="shared" si="40"/>
        <v>0</v>
      </c>
      <c r="X84" s="2">
        <v>0</v>
      </c>
      <c r="Y84" s="2">
        <v>0</v>
      </c>
      <c r="Z84" s="2" t="str">
        <f t="shared" si="41"/>
        <v>0%</v>
      </c>
      <c r="AA84" s="3"/>
    </row>
    <row r="85" spans="1:27" x14ac:dyDescent="0.25">
      <c r="A85" s="2" t="s">
        <v>82</v>
      </c>
      <c r="B85" s="5"/>
      <c r="C85" s="2">
        <f t="shared" si="42"/>
        <v>0</v>
      </c>
      <c r="D85" s="2">
        <f t="shared" si="43"/>
        <v>0</v>
      </c>
      <c r="E85" s="2">
        <f t="shared" si="44"/>
        <v>0</v>
      </c>
      <c r="F85" s="2" t="str">
        <f t="shared" si="33"/>
        <v>0%</v>
      </c>
      <c r="G85" s="5"/>
      <c r="H85" s="2">
        <f t="shared" si="34"/>
        <v>0</v>
      </c>
      <c r="I85" s="2">
        <v>0</v>
      </c>
      <c r="J85" s="2">
        <v>0</v>
      </c>
      <c r="K85" s="2" t="str">
        <f t="shared" si="35"/>
        <v>0%</v>
      </c>
      <c r="L85" s="5"/>
      <c r="M85" s="2">
        <f t="shared" si="36"/>
        <v>0</v>
      </c>
      <c r="N85" s="2">
        <v>0</v>
      </c>
      <c r="O85" s="2">
        <v>0</v>
      </c>
      <c r="P85" s="2" t="str">
        <f t="shared" si="37"/>
        <v>0%</v>
      </c>
      <c r="Q85" s="5"/>
      <c r="R85" s="2">
        <f t="shared" si="38"/>
        <v>0</v>
      </c>
      <c r="S85" s="2">
        <v>0</v>
      </c>
      <c r="T85" s="2">
        <v>0</v>
      </c>
      <c r="U85" s="2" t="str">
        <f t="shared" si="39"/>
        <v>0%</v>
      </c>
      <c r="V85" s="5"/>
      <c r="W85" s="2">
        <f t="shared" si="40"/>
        <v>0</v>
      </c>
      <c r="X85" s="2">
        <v>0</v>
      </c>
      <c r="Y85" s="2">
        <v>0</v>
      </c>
      <c r="Z85" s="2" t="str">
        <f t="shared" si="41"/>
        <v>0%</v>
      </c>
      <c r="AA85" s="3"/>
    </row>
    <row r="86" spans="1:27" x14ac:dyDescent="0.25">
      <c r="A86" s="2" t="s">
        <v>83</v>
      </c>
      <c r="B86" s="5"/>
      <c r="C86" s="2">
        <f t="shared" si="42"/>
        <v>0</v>
      </c>
      <c r="D86" s="2">
        <f t="shared" si="43"/>
        <v>0</v>
      </c>
      <c r="E86" s="2">
        <f t="shared" si="44"/>
        <v>0</v>
      </c>
      <c r="F86" s="2" t="str">
        <f t="shared" si="33"/>
        <v>0%</v>
      </c>
      <c r="G86" s="5"/>
      <c r="H86" s="2">
        <f t="shared" si="34"/>
        <v>0</v>
      </c>
      <c r="I86" s="2">
        <v>0</v>
      </c>
      <c r="J86" s="2">
        <v>0</v>
      </c>
      <c r="K86" s="2" t="str">
        <f t="shared" si="35"/>
        <v>0%</v>
      </c>
      <c r="L86" s="5"/>
      <c r="M86" s="2">
        <f t="shared" si="36"/>
        <v>0</v>
      </c>
      <c r="N86" s="2">
        <v>0</v>
      </c>
      <c r="O86" s="2">
        <v>0</v>
      </c>
      <c r="P86" s="2" t="str">
        <f t="shared" si="37"/>
        <v>0%</v>
      </c>
      <c r="Q86" s="5"/>
      <c r="R86" s="2">
        <f t="shared" si="38"/>
        <v>0</v>
      </c>
      <c r="S86" s="2">
        <v>0</v>
      </c>
      <c r="T86" s="2">
        <v>0</v>
      </c>
      <c r="U86" s="2" t="str">
        <f t="shared" si="39"/>
        <v>0%</v>
      </c>
      <c r="V86" s="5"/>
      <c r="W86" s="2">
        <f t="shared" si="40"/>
        <v>0</v>
      </c>
      <c r="X86" s="2">
        <v>0</v>
      </c>
      <c r="Y86" s="2">
        <v>0</v>
      </c>
      <c r="Z86" s="2" t="str">
        <f t="shared" si="41"/>
        <v>0%</v>
      </c>
      <c r="AA86" s="3"/>
    </row>
    <row r="87" spans="1:27" x14ac:dyDescent="0.25">
      <c r="A87" s="2" t="s">
        <v>158</v>
      </c>
      <c r="B87" s="5"/>
      <c r="C87" s="2">
        <f t="shared" si="42"/>
        <v>0</v>
      </c>
      <c r="D87" s="2">
        <f t="shared" si="43"/>
        <v>0</v>
      </c>
      <c r="E87" s="2">
        <f t="shared" si="44"/>
        <v>0</v>
      </c>
      <c r="F87" s="2" t="str">
        <f t="shared" si="33"/>
        <v>0%</v>
      </c>
      <c r="G87" s="5"/>
      <c r="H87" s="2">
        <f t="shared" si="34"/>
        <v>0</v>
      </c>
      <c r="I87" s="2">
        <v>0</v>
      </c>
      <c r="J87" s="2">
        <v>0</v>
      </c>
      <c r="K87" s="2" t="str">
        <f t="shared" si="35"/>
        <v>0%</v>
      </c>
      <c r="L87" s="5"/>
      <c r="M87" s="2">
        <f t="shared" si="36"/>
        <v>0</v>
      </c>
      <c r="N87" s="2">
        <v>0</v>
      </c>
      <c r="O87" s="2">
        <v>0</v>
      </c>
      <c r="P87" s="2" t="str">
        <f t="shared" si="37"/>
        <v>0%</v>
      </c>
      <c r="Q87" s="5"/>
      <c r="R87" s="2">
        <f t="shared" si="38"/>
        <v>0</v>
      </c>
      <c r="S87" s="2">
        <v>0</v>
      </c>
      <c r="T87" s="2">
        <v>0</v>
      </c>
      <c r="U87" s="2" t="str">
        <f t="shared" si="39"/>
        <v>0%</v>
      </c>
      <c r="V87" s="5"/>
      <c r="W87" s="2">
        <f t="shared" si="40"/>
        <v>0</v>
      </c>
      <c r="X87" s="2">
        <v>0</v>
      </c>
      <c r="Y87" s="2">
        <v>0</v>
      </c>
      <c r="Z87" s="2" t="str">
        <f t="shared" si="41"/>
        <v>0%</v>
      </c>
      <c r="AA87" s="3"/>
    </row>
    <row r="88" spans="1:27" x14ac:dyDescent="0.25">
      <c r="A88" s="2" t="s">
        <v>84</v>
      </c>
      <c r="B88" s="5"/>
      <c r="C88" s="2">
        <f t="shared" si="42"/>
        <v>0</v>
      </c>
      <c r="D88" s="2">
        <f t="shared" si="43"/>
        <v>0</v>
      </c>
      <c r="E88" s="2">
        <f t="shared" si="44"/>
        <v>0</v>
      </c>
      <c r="F88" s="2" t="str">
        <f t="shared" si="33"/>
        <v>0%</v>
      </c>
      <c r="G88" s="5"/>
      <c r="H88" s="2">
        <f t="shared" si="34"/>
        <v>0</v>
      </c>
      <c r="I88" s="2">
        <v>0</v>
      </c>
      <c r="J88" s="2">
        <v>0</v>
      </c>
      <c r="K88" s="2" t="str">
        <f t="shared" si="35"/>
        <v>0%</v>
      </c>
      <c r="L88" s="5"/>
      <c r="M88" s="2">
        <f t="shared" si="36"/>
        <v>0</v>
      </c>
      <c r="N88" s="2">
        <v>0</v>
      </c>
      <c r="O88" s="2">
        <v>0</v>
      </c>
      <c r="P88" s="2" t="str">
        <f t="shared" si="37"/>
        <v>0%</v>
      </c>
      <c r="Q88" s="5"/>
      <c r="R88" s="2">
        <f t="shared" si="38"/>
        <v>0</v>
      </c>
      <c r="S88" s="2">
        <v>0</v>
      </c>
      <c r="T88" s="2">
        <v>0</v>
      </c>
      <c r="U88" s="2" t="str">
        <f t="shared" si="39"/>
        <v>0%</v>
      </c>
      <c r="V88" s="5"/>
      <c r="W88" s="2">
        <f t="shared" si="40"/>
        <v>0</v>
      </c>
      <c r="X88" s="2">
        <v>0</v>
      </c>
      <c r="Y88" s="2">
        <v>0</v>
      </c>
      <c r="Z88" s="2" t="str">
        <f t="shared" si="41"/>
        <v>0%</v>
      </c>
      <c r="AA88" s="3"/>
    </row>
    <row r="89" spans="1:27" x14ac:dyDescent="0.25">
      <c r="A89" s="2" t="s">
        <v>85</v>
      </c>
      <c r="B89" s="5"/>
      <c r="C89" s="2">
        <f t="shared" si="42"/>
        <v>0</v>
      </c>
      <c r="D89" s="2">
        <f t="shared" si="43"/>
        <v>0</v>
      </c>
      <c r="E89" s="2">
        <f t="shared" si="44"/>
        <v>0</v>
      </c>
      <c r="F89" s="2" t="str">
        <f t="shared" si="33"/>
        <v>0%</v>
      </c>
      <c r="G89" s="5"/>
      <c r="H89" s="2">
        <f t="shared" si="34"/>
        <v>0</v>
      </c>
      <c r="I89" s="2">
        <v>0</v>
      </c>
      <c r="J89" s="2">
        <v>0</v>
      </c>
      <c r="K89" s="2" t="str">
        <f t="shared" si="35"/>
        <v>0%</v>
      </c>
      <c r="L89" s="5"/>
      <c r="M89" s="2">
        <f t="shared" si="36"/>
        <v>0</v>
      </c>
      <c r="N89" s="2">
        <v>0</v>
      </c>
      <c r="O89" s="2">
        <v>0</v>
      </c>
      <c r="P89" s="2" t="str">
        <f t="shared" si="37"/>
        <v>0%</v>
      </c>
      <c r="Q89" s="5"/>
      <c r="R89" s="2">
        <f t="shared" si="38"/>
        <v>0</v>
      </c>
      <c r="S89" s="2">
        <v>0</v>
      </c>
      <c r="T89" s="2">
        <v>0</v>
      </c>
      <c r="U89" s="2" t="str">
        <f t="shared" si="39"/>
        <v>0%</v>
      </c>
      <c r="V89" s="5"/>
      <c r="W89" s="2">
        <f t="shared" si="40"/>
        <v>0</v>
      </c>
      <c r="X89" s="2">
        <v>0</v>
      </c>
      <c r="Y89" s="2">
        <v>0</v>
      </c>
      <c r="Z89" s="2" t="str">
        <f t="shared" si="41"/>
        <v>0%</v>
      </c>
      <c r="AA89" s="3"/>
    </row>
    <row r="90" spans="1:27" x14ac:dyDescent="0.25">
      <c r="A90" s="2" t="s">
        <v>86</v>
      </c>
      <c r="B90" s="5"/>
      <c r="C90" s="2">
        <f t="shared" si="42"/>
        <v>0</v>
      </c>
      <c r="D90" s="2">
        <f t="shared" si="43"/>
        <v>0</v>
      </c>
      <c r="E90" s="2">
        <f t="shared" si="44"/>
        <v>0</v>
      </c>
      <c r="F90" s="2" t="str">
        <f t="shared" si="33"/>
        <v>0%</v>
      </c>
      <c r="G90" s="5"/>
      <c r="H90" s="2">
        <f t="shared" si="34"/>
        <v>0</v>
      </c>
      <c r="I90" s="2">
        <v>0</v>
      </c>
      <c r="J90" s="2">
        <v>0</v>
      </c>
      <c r="K90" s="2" t="str">
        <f t="shared" si="35"/>
        <v>0%</v>
      </c>
      <c r="L90" s="5"/>
      <c r="M90" s="2">
        <f t="shared" si="36"/>
        <v>0</v>
      </c>
      <c r="N90" s="2">
        <v>0</v>
      </c>
      <c r="O90" s="2">
        <v>0</v>
      </c>
      <c r="P90" s="2" t="str">
        <f t="shared" si="37"/>
        <v>0%</v>
      </c>
      <c r="Q90" s="5"/>
      <c r="R90" s="2">
        <f t="shared" si="38"/>
        <v>0</v>
      </c>
      <c r="S90" s="2">
        <v>0</v>
      </c>
      <c r="T90" s="2">
        <v>0</v>
      </c>
      <c r="U90" s="2" t="str">
        <f t="shared" si="39"/>
        <v>0%</v>
      </c>
      <c r="V90" s="5"/>
      <c r="W90" s="2">
        <f t="shared" si="40"/>
        <v>0</v>
      </c>
      <c r="X90" s="2">
        <v>0</v>
      </c>
      <c r="Y90" s="2">
        <v>0</v>
      </c>
      <c r="Z90" s="2" t="str">
        <f t="shared" si="41"/>
        <v>0%</v>
      </c>
      <c r="AA90" s="3"/>
    </row>
    <row r="91" spans="1:27" x14ac:dyDescent="0.25">
      <c r="A91" s="2" t="s">
        <v>87</v>
      </c>
      <c r="B91" s="5"/>
      <c r="C91" s="2">
        <f t="shared" si="42"/>
        <v>0</v>
      </c>
      <c r="D91" s="2">
        <f t="shared" si="43"/>
        <v>0</v>
      </c>
      <c r="E91" s="2">
        <f t="shared" si="44"/>
        <v>0</v>
      </c>
      <c r="F91" s="2" t="str">
        <f t="shared" si="33"/>
        <v>0%</v>
      </c>
      <c r="G91" s="5"/>
      <c r="H91" s="2">
        <f t="shared" si="34"/>
        <v>0</v>
      </c>
      <c r="I91" s="2">
        <v>0</v>
      </c>
      <c r="J91" s="2">
        <v>0</v>
      </c>
      <c r="K91" s="2" t="str">
        <f t="shared" si="35"/>
        <v>0%</v>
      </c>
      <c r="L91" s="5"/>
      <c r="M91" s="2">
        <f t="shared" si="36"/>
        <v>0</v>
      </c>
      <c r="N91" s="2">
        <v>0</v>
      </c>
      <c r="O91" s="2">
        <v>0</v>
      </c>
      <c r="P91" s="2" t="str">
        <f t="shared" si="37"/>
        <v>0%</v>
      </c>
      <c r="Q91" s="5"/>
      <c r="R91" s="2">
        <f t="shared" si="38"/>
        <v>0</v>
      </c>
      <c r="S91" s="2">
        <v>0</v>
      </c>
      <c r="T91" s="2">
        <v>0</v>
      </c>
      <c r="U91" s="2" t="str">
        <f t="shared" si="39"/>
        <v>0%</v>
      </c>
      <c r="V91" s="5"/>
      <c r="W91" s="2">
        <f t="shared" si="40"/>
        <v>0</v>
      </c>
      <c r="X91" s="2">
        <v>0</v>
      </c>
      <c r="Y91" s="2">
        <v>0</v>
      </c>
      <c r="Z91" s="2" t="str">
        <f t="shared" si="41"/>
        <v>0%</v>
      </c>
      <c r="AA91" s="3"/>
    </row>
    <row r="92" spans="1:27" x14ac:dyDescent="0.25">
      <c r="A92" s="2" t="s">
        <v>88</v>
      </c>
      <c r="B92" s="5"/>
      <c r="C92" s="2">
        <f t="shared" si="42"/>
        <v>0</v>
      </c>
      <c r="D92" s="2">
        <f t="shared" si="43"/>
        <v>0</v>
      </c>
      <c r="E92" s="2">
        <f t="shared" si="44"/>
        <v>0</v>
      </c>
      <c r="F92" s="2" t="str">
        <f t="shared" si="33"/>
        <v>0%</v>
      </c>
      <c r="G92" s="5"/>
      <c r="H92" s="2">
        <f t="shared" si="34"/>
        <v>0</v>
      </c>
      <c r="I92" s="2">
        <v>0</v>
      </c>
      <c r="J92" s="2">
        <v>0</v>
      </c>
      <c r="K92" s="2" t="str">
        <f t="shared" si="35"/>
        <v>0%</v>
      </c>
      <c r="L92" s="5"/>
      <c r="M92" s="2">
        <f t="shared" si="36"/>
        <v>0</v>
      </c>
      <c r="N92" s="2">
        <v>0</v>
      </c>
      <c r="O92" s="2">
        <v>0</v>
      </c>
      <c r="P92" s="2" t="str">
        <f t="shared" si="37"/>
        <v>0%</v>
      </c>
      <c r="Q92" s="5"/>
      <c r="R92" s="2">
        <f t="shared" si="38"/>
        <v>0</v>
      </c>
      <c r="S92" s="2">
        <v>0</v>
      </c>
      <c r="T92" s="2">
        <v>0</v>
      </c>
      <c r="U92" s="2" t="str">
        <f t="shared" si="39"/>
        <v>0%</v>
      </c>
      <c r="V92" s="5"/>
      <c r="W92" s="2">
        <f t="shared" si="40"/>
        <v>0</v>
      </c>
      <c r="X92" s="2">
        <v>0</v>
      </c>
      <c r="Y92" s="2">
        <v>0</v>
      </c>
      <c r="Z92" s="2" t="str">
        <f t="shared" si="41"/>
        <v>0%</v>
      </c>
      <c r="AA92" s="3"/>
    </row>
    <row r="93" spans="1:27" x14ac:dyDescent="0.25">
      <c r="A93" s="2" t="s">
        <v>89</v>
      </c>
      <c r="B93" s="5"/>
      <c r="C93" s="2">
        <f t="shared" si="42"/>
        <v>0</v>
      </c>
      <c r="D93" s="2">
        <f t="shared" si="43"/>
        <v>0</v>
      </c>
      <c r="E93" s="2">
        <f t="shared" si="44"/>
        <v>0</v>
      </c>
      <c r="F93" s="2" t="str">
        <f t="shared" si="33"/>
        <v>0%</v>
      </c>
      <c r="G93" s="5"/>
      <c r="H93" s="2">
        <f t="shared" si="34"/>
        <v>0</v>
      </c>
      <c r="I93" s="2">
        <v>0</v>
      </c>
      <c r="J93" s="2">
        <v>0</v>
      </c>
      <c r="K93" s="2" t="str">
        <f t="shared" si="35"/>
        <v>0%</v>
      </c>
      <c r="L93" s="5"/>
      <c r="M93" s="2">
        <f t="shared" si="36"/>
        <v>0</v>
      </c>
      <c r="N93" s="2">
        <v>0</v>
      </c>
      <c r="O93" s="2">
        <v>0</v>
      </c>
      <c r="P93" s="2" t="str">
        <f t="shared" si="37"/>
        <v>0%</v>
      </c>
      <c r="Q93" s="5"/>
      <c r="R93" s="2">
        <f t="shared" si="38"/>
        <v>0</v>
      </c>
      <c r="S93" s="2">
        <v>0</v>
      </c>
      <c r="T93" s="2">
        <v>0</v>
      </c>
      <c r="U93" s="2" t="str">
        <f t="shared" si="39"/>
        <v>0%</v>
      </c>
      <c r="V93" s="5"/>
      <c r="W93" s="2">
        <f t="shared" si="40"/>
        <v>0</v>
      </c>
      <c r="X93" s="2">
        <v>0</v>
      </c>
      <c r="Y93" s="2">
        <v>0</v>
      </c>
      <c r="Z93" s="2" t="str">
        <f t="shared" si="41"/>
        <v>0%</v>
      </c>
      <c r="AA93" s="3"/>
    </row>
    <row r="94" spans="1:27" x14ac:dyDescent="0.25">
      <c r="A94" s="2" t="s">
        <v>90</v>
      </c>
      <c r="B94" s="5"/>
      <c r="C94" s="2">
        <f t="shared" si="42"/>
        <v>0</v>
      </c>
      <c r="D94" s="2">
        <f t="shared" si="43"/>
        <v>0</v>
      </c>
      <c r="E94" s="2">
        <f t="shared" si="44"/>
        <v>0</v>
      </c>
      <c r="F94" s="2" t="str">
        <f t="shared" si="33"/>
        <v>0%</v>
      </c>
      <c r="G94" s="5"/>
      <c r="H94" s="2">
        <f t="shared" si="34"/>
        <v>0</v>
      </c>
      <c r="I94" s="2">
        <v>0</v>
      </c>
      <c r="J94" s="2">
        <v>0</v>
      </c>
      <c r="K94" s="2" t="str">
        <f t="shared" si="35"/>
        <v>0%</v>
      </c>
      <c r="L94" s="5"/>
      <c r="M94" s="2">
        <f t="shared" si="36"/>
        <v>0</v>
      </c>
      <c r="N94" s="2">
        <v>0</v>
      </c>
      <c r="O94" s="2">
        <v>0</v>
      </c>
      <c r="P94" s="2" t="str">
        <f t="shared" si="37"/>
        <v>0%</v>
      </c>
      <c r="Q94" s="5"/>
      <c r="R94" s="2">
        <f t="shared" si="38"/>
        <v>0</v>
      </c>
      <c r="S94" s="2">
        <v>0</v>
      </c>
      <c r="T94" s="2">
        <v>0</v>
      </c>
      <c r="U94" s="2" t="str">
        <f t="shared" si="39"/>
        <v>0%</v>
      </c>
      <c r="V94" s="5"/>
      <c r="W94" s="2">
        <f t="shared" si="40"/>
        <v>0</v>
      </c>
      <c r="X94" s="2">
        <v>0</v>
      </c>
      <c r="Y94" s="2">
        <v>0</v>
      </c>
      <c r="Z94" s="2" t="str">
        <f t="shared" si="41"/>
        <v>0%</v>
      </c>
      <c r="AA94" s="3"/>
    </row>
    <row r="95" spans="1:27" x14ac:dyDescent="0.25">
      <c r="A95" s="2" t="s">
        <v>91</v>
      </c>
      <c r="B95" s="5"/>
      <c r="C95" s="2">
        <f t="shared" si="42"/>
        <v>0</v>
      </c>
      <c r="D95" s="2">
        <f t="shared" si="43"/>
        <v>0</v>
      </c>
      <c r="E95" s="2">
        <f t="shared" si="44"/>
        <v>0</v>
      </c>
      <c r="F95" s="2" t="str">
        <f t="shared" si="33"/>
        <v>0%</v>
      </c>
      <c r="G95" s="5"/>
      <c r="H95" s="2">
        <f t="shared" si="34"/>
        <v>0</v>
      </c>
      <c r="I95" s="2">
        <v>0</v>
      </c>
      <c r="J95" s="2">
        <v>0</v>
      </c>
      <c r="K95" s="2" t="str">
        <f t="shared" si="35"/>
        <v>0%</v>
      </c>
      <c r="L95" s="5"/>
      <c r="M95" s="2">
        <f t="shared" si="36"/>
        <v>0</v>
      </c>
      <c r="N95" s="2">
        <v>0</v>
      </c>
      <c r="O95" s="2">
        <v>0</v>
      </c>
      <c r="P95" s="2" t="str">
        <f t="shared" si="37"/>
        <v>0%</v>
      </c>
      <c r="Q95" s="5"/>
      <c r="R95" s="2">
        <f t="shared" si="38"/>
        <v>0</v>
      </c>
      <c r="S95" s="2">
        <v>0</v>
      </c>
      <c r="T95" s="2">
        <v>0</v>
      </c>
      <c r="U95" s="2" t="str">
        <f t="shared" si="39"/>
        <v>0%</v>
      </c>
      <c r="V95" s="5"/>
      <c r="W95" s="2">
        <f t="shared" si="40"/>
        <v>0</v>
      </c>
      <c r="X95" s="2">
        <v>0</v>
      </c>
      <c r="Y95" s="2">
        <v>0</v>
      </c>
      <c r="Z95" s="2" t="str">
        <f t="shared" si="41"/>
        <v>0%</v>
      </c>
      <c r="AA95" s="3"/>
    </row>
    <row r="96" spans="1:27" x14ac:dyDescent="0.25">
      <c r="A96" s="2" t="s">
        <v>92</v>
      </c>
      <c r="B96" s="5"/>
      <c r="C96" s="2">
        <f t="shared" si="42"/>
        <v>0</v>
      </c>
      <c r="D96" s="2">
        <f t="shared" si="43"/>
        <v>0</v>
      </c>
      <c r="E96" s="2">
        <f t="shared" si="44"/>
        <v>0</v>
      </c>
      <c r="F96" s="2" t="str">
        <f t="shared" si="33"/>
        <v>0%</v>
      </c>
      <c r="G96" s="5"/>
      <c r="H96" s="2">
        <f t="shared" si="34"/>
        <v>0</v>
      </c>
      <c r="I96" s="2">
        <v>0</v>
      </c>
      <c r="J96" s="2">
        <v>0</v>
      </c>
      <c r="K96" s="2" t="str">
        <f t="shared" si="35"/>
        <v>0%</v>
      </c>
      <c r="L96" s="5"/>
      <c r="M96" s="2">
        <f t="shared" si="36"/>
        <v>0</v>
      </c>
      <c r="N96" s="2">
        <v>0</v>
      </c>
      <c r="O96" s="2">
        <v>0</v>
      </c>
      <c r="P96" s="2" t="str">
        <f t="shared" si="37"/>
        <v>0%</v>
      </c>
      <c r="Q96" s="5"/>
      <c r="R96" s="2">
        <f t="shared" si="38"/>
        <v>0</v>
      </c>
      <c r="S96" s="2">
        <v>0</v>
      </c>
      <c r="T96" s="2">
        <v>0</v>
      </c>
      <c r="U96" s="2" t="str">
        <f t="shared" si="39"/>
        <v>0%</v>
      </c>
      <c r="V96" s="5"/>
      <c r="W96" s="2">
        <f t="shared" si="40"/>
        <v>0</v>
      </c>
      <c r="X96" s="2">
        <v>0</v>
      </c>
      <c r="Y96" s="2">
        <v>0</v>
      </c>
      <c r="Z96" s="2" t="str">
        <f t="shared" si="41"/>
        <v>0%</v>
      </c>
      <c r="AA96" s="3"/>
    </row>
    <row r="97" spans="1:27" x14ac:dyDescent="0.25">
      <c r="A97" s="2" t="s">
        <v>93</v>
      </c>
      <c r="B97" s="5"/>
      <c r="C97" s="2">
        <f t="shared" si="42"/>
        <v>0</v>
      </c>
      <c r="D97" s="2">
        <f t="shared" si="43"/>
        <v>0</v>
      </c>
      <c r="E97" s="2">
        <f t="shared" si="44"/>
        <v>0</v>
      </c>
      <c r="F97" s="2" t="str">
        <f t="shared" si="33"/>
        <v>0%</v>
      </c>
      <c r="G97" s="5"/>
      <c r="H97" s="2">
        <f t="shared" si="34"/>
        <v>0</v>
      </c>
      <c r="I97" s="2">
        <v>0</v>
      </c>
      <c r="J97" s="2">
        <v>0</v>
      </c>
      <c r="K97" s="2" t="str">
        <f t="shared" si="35"/>
        <v>0%</v>
      </c>
      <c r="L97" s="5"/>
      <c r="M97" s="2">
        <f t="shared" si="36"/>
        <v>0</v>
      </c>
      <c r="N97" s="2">
        <v>0</v>
      </c>
      <c r="O97" s="2">
        <v>0</v>
      </c>
      <c r="P97" s="2" t="str">
        <f t="shared" si="37"/>
        <v>0%</v>
      </c>
      <c r="Q97" s="5"/>
      <c r="R97" s="2">
        <f t="shared" si="38"/>
        <v>0</v>
      </c>
      <c r="S97" s="2">
        <v>0</v>
      </c>
      <c r="T97" s="2">
        <v>0</v>
      </c>
      <c r="U97" s="2" t="str">
        <f t="shared" si="39"/>
        <v>0%</v>
      </c>
      <c r="V97" s="5"/>
      <c r="W97" s="2">
        <f t="shared" si="40"/>
        <v>0</v>
      </c>
      <c r="X97" s="2">
        <v>0</v>
      </c>
      <c r="Y97" s="2">
        <v>0</v>
      </c>
      <c r="Z97" s="2" t="str">
        <f t="shared" si="41"/>
        <v>0%</v>
      </c>
      <c r="AA97" s="3"/>
    </row>
    <row r="98" spans="1:27" x14ac:dyDescent="0.25">
      <c r="A98" s="2" t="s">
        <v>94</v>
      </c>
      <c r="B98" s="5"/>
      <c r="C98" s="2">
        <f t="shared" si="42"/>
        <v>0</v>
      </c>
      <c r="D98" s="2">
        <f t="shared" si="43"/>
        <v>0</v>
      </c>
      <c r="E98" s="2">
        <f t="shared" si="44"/>
        <v>0</v>
      </c>
      <c r="F98" s="2" t="str">
        <f t="shared" si="33"/>
        <v>0%</v>
      </c>
      <c r="G98" s="5"/>
      <c r="H98" s="2">
        <f t="shared" si="34"/>
        <v>0</v>
      </c>
      <c r="I98" s="2">
        <v>0</v>
      </c>
      <c r="J98" s="2">
        <v>0</v>
      </c>
      <c r="K98" s="2" t="str">
        <f t="shared" si="35"/>
        <v>0%</v>
      </c>
      <c r="L98" s="5"/>
      <c r="M98" s="2">
        <f t="shared" si="36"/>
        <v>0</v>
      </c>
      <c r="N98" s="2">
        <v>0</v>
      </c>
      <c r="O98" s="2">
        <v>0</v>
      </c>
      <c r="P98" s="2" t="str">
        <f t="shared" si="37"/>
        <v>0%</v>
      </c>
      <c r="Q98" s="5"/>
      <c r="R98" s="2">
        <f t="shared" si="38"/>
        <v>0</v>
      </c>
      <c r="S98" s="2">
        <v>0</v>
      </c>
      <c r="T98" s="2">
        <v>0</v>
      </c>
      <c r="U98" s="2" t="str">
        <f t="shared" si="39"/>
        <v>0%</v>
      </c>
      <c r="V98" s="5"/>
      <c r="W98" s="2">
        <f t="shared" si="40"/>
        <v>0</v>
      </c>
      <c r="X98" s="2">
        <v>0</v>
      </c>
      <c r="Y98" s="2">
        <v>0</v>
      </c>
      <c r="Z98" s="2" t="str">
        <f t="shared" si="41"/>
        <v>0%</v>
      </c>
      <c r="AA98" s="3"/>
    </row>
    <row r="99" spans="1:27" x14ac:dyDescent="0.25">
      <c r="A99" s="2" t="s">
        <v>95</v>
      </c>
      <c r="B99" s="5"/>
      <c r="C99" s="2">
        <f t="shared" si="42"/>
        <v>0</v>
      </c>
      <c r="D99" s="2">
        <f t="shared" si="43"/>
        <v>0</v>
      </c>
      <c r="E99" s="2">
        <f t="shared" si="44"/>
        <v>0</v>
      </c>
      <c r="F99" s="2" t="str">
        <f t="shared" si="33"/>
        <v>0%</v>
      </c>
      <c r="G99" s="5"/>
      <c r="H99" s="2">
        <f t="shared" si="34"/>
        <v>0</v>
      </c>
      <c r="I99" s="2">
        <v>0</v>
      </c>
      <c r="J99" s="2">
        <v>0</v>
      </c>
      <c r="K99" s="2" t="str">
        <f t="shared" si="35"/>
        <v>0%</v>
      </c>
      <c r="L99" s="5"/>
      <c r="M99" s="2">
        <f t="shared" si="36"/>
        <v>0</v>
      </c>
      <c r="N99" s="2">
        <v>0</v>
      </c>
      <c r="O99" s="2">
        <v>0</v>
      </c>
      <c r="P99" s="2" t="str">
        <f t="shared" si="37"/>
        <v>0%</v>
      </c>
      <c r="Q99" s="5"/>
      <c r="R99" s="2">
        <f t="shared" si="38"/>
        <v>0</v>
      </c>
      <c r="S99" s="2">
        <v>0</v>
      </c>
      <c r="T99" s="2">
        <v>0</v>
      </c>
      <c r="U99" s="2" t="str">
        <f t="shared" si="39"/>
        <v>0%</v>
      </c>
      <c r="V99" s="5"/>
      <c r="W99" s="2">
        <f t="shared" si="40"/>
        <v>0</v>
      </c>
      <c r="X99" s="2">
        <v>0</v>
      </c>
      <c r="Y99" s="2">
        <v>0</v>
      </c>
      <c r="Z99" s="2" t="str">
        <f t="shared" si="41"/>
        <v>0%</v>
      </c>
      <c r="AA99" s="3"/>
    </row>
    <row r="100" spans="1:27" x14ac:dyDescent="0.25">
      <c r="A100" s="2" t="s">
        <v>96</v>
      </c>
      <c r="B100" s="5"/>
      <c r="C100" s="2">
        <f t="shared" si="42"/>
        <v>0</v>
      </c>
      <c r="D100" s="2">
        <f t="shared" si="43"/>
        <v>0</v>
      </c>
      <c r="E100" s="2">
        <f t="shared" si="44"/>
        <v>0</v>
      </c>
      <c r="F100" s="2" t="str">
        <f t="shared" si="33"/>
        <v>0%</v>
      </c>
      <c r="G100" s="5"/>
      <c r="H100" s="2">
        <f t="shared" si="34"/>
        <v>0</v>
      </c>
      <c r="I100" s="2">
        <v>0</v>
      </c>
      <c r="J100" s="2">
        <v>0</v>
      </c>
      <c r="K100" s="2" t="str">
        <f t="shared" si="35"/>
        <v>0%</v>
      </c>
      <c r="L100" s="5"/>
      <c r="M100" s="2">
        <f t="shared" si="36"/>
        <v>0</v>
      </c>
      <c r="N100" s="2">
        <v>0</v>
      </c>
      <c r="O100" s="2">
        <v>0</v>
      </c>
      <c r="P100" s="2" t="str">
        <f t="shared" si="37"/>
        <v>0%</v>
      </c>
      <c r="Q100" s="5"/>
      <c r="R100" s="2">
        <f t="shared" si="38"/>
        <v>0</v>
      </c>
      <c r="S100" s="2">
        <v>0</v>
      </c>
      <c r="T100" s="2">
        <v>0</v>
      </c>
      <c r="U100" s="2" t="str">
        <f t="shared" si="39"/>
        <v>0%</v>
      </c>
      <c r="V100" s="5"/>
      <c r="W100" s="2">
        <f t="shared" si="40"/>
        <v>0</v>
      </c>
      <c r="X100" s="2">
        <v>0</v>
      </c>
      <c r="Y100" s="2">
        <v>0</v>
      </c>
      <c r="Z100" s="2" t="str">
        <f t="shared" si="41"/>
        <v>0%</v>
      </c>
      <c r="AA100" s="3"/>
    </row>
    <row r="101" spans="1:27" x14ac:dyDescent="0.25">
      <c r="A101" s="2" t="s">
        <v>97</v>
      </c>
      <c r="B101" s="5"/>
      <c r="C101" s="2">
        <f t="shared" si="42"/>
        <v>0</v>
      </c>
      <c r="D101" s="2">
        <f t="shared" si="43"/>
        <v>0</v>
      </c>
      <c r="E101" s="2">
        <f t="shared" si="44"/>
        <v>0</v>
      </c>
      <c r="F101" s="2" t="str">
        <f t="shared" si="33"/>
        <v>0%</v>
      </c>
      <c r="G101" s="5"/>
      <c r="H101" s="2">
        <f t="shared" si="34"/>
        <v>0</v>
      </c>
      <c r="I101" s="2">
        <v>0</v>
      </c>
      <c r="J101" s="2">
        <v>0</v>
      </c>
      <c r="K101" s="2" t="str">
        <f t="shared" si="35"/>
        <v>0%</v>
      </c>
      <c r="L101" s="5"/>
      <c r="M101" s="2">
        <f t="shared" si="36"/>
        <v>0</v>
      </c>
      <c r="N101" s="2">
        <v>0</v>
      </c>
      <c r="O101" s="2">
        <v>0</v>
      </c>
      <c r="P101" s="2" t="str">
        <f t="shared" si="37"/>
        <v>0%</v>
      </c>
      <c r="Q101" s="5"/>
      <c r="R101" s="2">
        <f t="shared" si="38"/>
        <v>0</v>
      </c>
      <c r="S101" s="2">
        <v>0</v>
      </c>
      <c r="T101" s="2">
        <v>0</v>
      </c>
      <c r="U101" s="2" t="str">
        <f t="shared" si="39"/>
        <v>0%</v>
      </c>
      <c r="V101" s="5"/>
      <c r="W101" s="2">
        <f t="shared" si="40"/>
        <v>0</v>
      </c>
      <c r="X101" s="2">
        <v>0</v>
      </c>
      <c r="Y101" s="2">
        <v>0</v>
      </c>
      <c r="Z101" s="2" t="str">
        <f t="shared" si="41"/>
        <v>0%</v>
      </c>
      <c r="AA101" s="3"/>
    </row>
    <row r="102" spans="1:27" x14ac:dyDescent="0.25">
      <c r="A102" s="2" t="s">
        <v>151</v>
      </c>
      <c r="B102" s="5"/>
      <c r="C102" s="2">
        <f t="shared" si="42"/>
        <v>0</v>
      </c>
      <c r="D102" s="2">
        <f t="shared" si="43"/>
        <v>0</v>
      </c>
      <c r="E102" s="2">
        <f t="shared" si="44"/>
        <v>0</v>
      </c>
      <c r="F102" s="2" t="str">
        <f t="shared" si="33"/>
        <v>0%</v>
      </c>
      <c r="G102" s="5"/>
      <c r="H102" s="2">
        <f t="shared" si="34"/>
        <v>0</v>
      </c>
      <c r="I102" s="2">
        <v>0</v>
      </c>
      <c r="J102" s="2">
        <v>0</v>
      </c>
      <c r="K102" s="2" t="str">
        <f t="shared" si="35"/>
        <v>0%</v>
      </c>
      <c r="L102" s="5"/>
      <c r="M102" s="2">
        <f t="shared" si="36"/>
        <v>0</v>
      </c>
      <c r="N102" s="2">
        <v>0</v>
      </c>
      <c r="O102" s="2">
        <v>0</v>
      </c>
      <c r="P102" s="2" t="str">
        <f t="shared" si="37"/>
        <v>0%</v>
      </c>
      <c r="Q102" s="5"/>
      <c r="R102" s="2">
        <f t="shared" si="38"/>
        <v>0</v>
      </c>
      <c r="S102" s="2">
        <v>0</v>
      </c>
      <c r="T102" s="2">
        <v>0</v>
      </c>
      <c r="U102" s="2" t="str">
        <f t="shared" si="39"/>
        <v>0%</v>
      </c>
      <c r="V102" s="5"/>
      <c r="W102" s="2">
        <f t="shared" si="40"/>
        <v>0</v>
      </c>
      <c r="X102" s="2">
        <v>0</v>
      </c>
      <c r="Y102" s="2">
        <v>0</v>
      </c>
      <c r="Z102" s="2" t="str">
        <f t="shared" si="41"/>
        <v>0%</v>
      </c>
      <c r="AA102" s="3"/>
    </row>
    <row r="103" spans="1:27" x14ac:dyDescent="0.25">
      <c r="A103" s="2" t="s">
        <v>174</v>
      </c>
      <c r="B103" s="5"/>
      <c r="C103" s="2">
        <f>SUM(C79:C102)</f>
        <v>0</v>
      </c>
      <c r="D103" s="2">
        <f>SUM(D79:D102)</f>
        <v>0</v>
      </c>
      <c r="E103" s="2">
        <f>SUM(E79:E102)</f>
        <v>0</v>
      </c>
      <c r="F103" s="2" t="str">
        <f t="shared" si="33"/>
        <v>0%</v>
      </c>
      <c r="G103" s="5"/>
      <c r="H103" s="2">
        <f t="shared" si="34"/>
        <v>0</v>
      </c>
      <c r="I103" s="2">
        <f>SUM(I79:I102)</f>
        <v>0</v>
      </c>
      <c r="J103" s="2">
        <f>SUM(J79:J102)</f>
        <v>0</v>
      </c>
      <c r="K103" s="2" t="str">
        <f t="shared" si="35"/>
        <v>0%</v>
      </c>
      <c r="L103" s="5"/>
      <c r="M103" s="2">
        <f t="shared" si="36"/>
        <v>0</v>
      </c>
      <c r="N103" s="2">
        <f>SUM(N79:N102)</f>
        <v>0</v>
      </c>
      <c r="O103" s="2">
        <f>SUM(O79:O102)</f>
        <v>0</v>
      </c>
      <c r="P103" s="2" t="str">
        <f t="shared" si="37"/>
        <v>0%</v>
      </c>
      <c r="Q103" s="5"/>
      <c r="R103" s="2">
        <f t="shared" si="38"/>
        <v>0</v>
      </c>
      <c r="S103" s="2">
        <f>SUM(S79:S102)</f>
        <v>0</v>
      </c>
      <c r="T103" s="2">
        <f>SUM(T79:T102)</f>
        <v>0</v>
      </c>
      <c r="U103" s="2" t="str">
        <f t="shared" si="39"/>
        <v>0%</v>
      </c>
      <c r="V103" s="5"/>
      <c r="W103" s="2">
        <f t="shared" si="40"/>
        <v>0</v>
      </c>
      <c r="X103" s="2">
        <f>SUM(X79:X102)</f>
        <v>0</v>
      </c>
      <c r="Y103" s="2">
        <f>SUM(Y79:Y102)</f>
        <v>0</v>
      </c>
      <c r="Z103" s="2" t="str">
        <f t="shared" si="41"/>
        <v>0%</v>
      </c>
      <c r="AA103" s="3"/>
    </row>
    <row r="104" spans="1:27" x14ac:dyDescent="0.25">
      <c r="A104" s="3"/>
      <c r="B104" s="3"/>
      <c r="C104" s="6"/>
      <c r="D104" s="6"/>
      <c r="E104" s="6"/>
      <c r="F104" s="6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x14ac:dyDescent="0.25">
      <c r="A105" s="3"/>
      <c r="B105" s="17"/>
      <c r="C105" s="6"/>
      <c r="D105" s="6"/>
      <c r="E105" s="6"/>
      <c r="F105" s="6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x14ac:dyDescent="0.25">
      <c r="A106" s="16" t="s">
        <v>176</v>
      </c>
      <c r="B106" s="16" t="s">
        <v>144</v>
      </c>
      <c r="C106" s="9">
        <f>SUM(C103,C75)</f>
        <v>0</v>
      </c>
      <c r="D106" s="9">
        <f>SUM(D103,D75)</f>
        <v>0</v>
      </c>
      <c r="E106" s="9">
        <f>SUM(E103,E75)</f>
        <v>0</v>
      </c>
      <c r="F106" s="16" t="str">
        <f>IF(SUM(D75,D103),ROUND(D106*100/C106,2),0) &amp; "%"</f>
        <v>0%</v>
      </c>
      <c r="G106" s="18" t="s">
        <v>123</v>
      </c>
      <c r="H106" s="9">
        <f>SUM(H103,H75)</f>
        <v>0</v>
      </c>
      <c r="I106" s="9">
        <f>SUM(I103,I75)</f>
        <v>0</v>
      </c>
      <c r="J106" s="9">
        <f>SUM(J103,J75)</f>
        <v>0</v>
      </c>
      <c r="K106" s="16" t="str">
        <f>IF(SUM(I75,I103),ROUND(I106*100/H106,2),0) &amp; "%"</f>
        <v>0%</v>
      </c>
      <c r="L106" s="18" t="s">
        <v>123</v>
      </c>
      <c r="M106" s="9">
        <f>SUM(M103,M75)</f>
        <v>0</v>
      </c>
      <c r="N106" s="9">
        <f>SUM(N103,N75)</f>
        <v>0</v>
      </c>
      <c r="O106" s="9">
        <f>SUM(O103,O75)</f>
        <v>0</v>
      </c>
      <c r="P106" s="16" t="str">
        <f>IF(SUM(N75,N103),ROUND(N106*100/M106,2),0) &amp; "%"</f>
        <v>0%</v>
      </c>
      <c r="Q106" s="18" t="s">
        <v>123</v>
      </c>
      <c r="R106" s="9">
        <f>SUM(R103,R75)</f>
        <v>0</v>
      </c>
      <c r="S106" s="9">
        <f>SUM(S103,S75)</f>
        <v>0</v>
      </c>
      <c r="T106" s="9">
        <f>SUM(T103,T75)</f>
        <v>0</v>
      </c>
      <c r="U106" s="16" t="str">
        <f>IF(SUM(S75,S103),ROUND(S106*100/R106,2),0) &amp; "%"</f>
        <v>0%</v>
      </c>
      <c r="V106" s="18" t="s">
        <v>123</v>
      </c>
      <c r="W106" s="9">
        <f>SUM(W103,W75)</f>
        <v>0</v>
      </c>
      <c r="X106" s="9">
        <f>SUM(X103,X75)</f>
        <v>0</v>
      </c>
      <c r="Y106" s="9">
        <f>SUM(Y103,Y75)</f>
        <v>0</v>
      </c>
      <c r="Z106" s="16" t="str">
        <f>IF(SUM(X75,X103),ROUND(X106*100/W106,2),0) &amp; "%"</f>
        <v>0%</v>
      </c>
      <c r="AA106" s="3"/>
    </row>
    <row r="107" spans="1:27" x14ac:dyDescent="0.25">
      <c r="A107" s="17"/>
      <c r="B107" s="17"/>
      <c r="C107" s="6"/>
      <c r="D107" s="6"/>
      <c r="E107" s="6"/>
      <c r="F107" s="6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x14ac:dyDescent="0.25">
      <c r="A109" s="7" t="s">
        <v>98</v>
      </c>
      <c r="B109" s="8"/>
      <c r="C109" s="7" t="s">
        <v>71</v>
      </c>
      <c r="D109" s="7" t="s">
        <v>72</v>
      </c>
      <c r="E109" s="7" t="s">
        <v>147</v>
      </c>
      <c r="F109" s="7" t="s">
        <v>74</v>
      </c>
      <c r="G109" s="8"/>
      <c r="H109" s="7" t="s">
        <v>71</v>
      </c>
      <c r="I109" s="7" t="s">
        <v>72</v>
      </c>
      <c r="J109" s="7" t="s">
        <v>147</v>
      </c>
      <c r="K109" s="7" t="s">
        <v>74</v>
      </c>
      <c r="L109" s="8"/>
      <c r="M109" s="7" t="s">
        <v>71</v>
      </c>
      <c r="N109" s="7" t="s">
        <v>72</v>
      </c>
      <c r="O109" s="7" t="s">
        <v>147</v>
      </c>
      <c r="P109" s="7" t="s">
        <v>74</v>
      </c>
      <c r="Q109" s="8"/>
      <c r="R109" s="7" t="s">
        <v>71</v>
      </c>
      <c r="S109" s="7" t="s">
        <v>72</v>
      </c>
      <c r="T109" s="7" t="s">
        <v>147</v>
      </c>
      <c r="U109" s="7" t="s">
        <v>74</v>
      </c>
      <c r="V109" s="8"/>
      <c r="W109" s="7" t="s">
        <v>71</v>
      </c>
      <c r="X109" s="7" t="s">
        <v>72</v>
      </c>
      <c r="Y109" s="7" t="s">
        <v>147</v>
      </c>
      <c r="Z109" s="7" t="s">
        <v>74</v>
      </c>
      <c r="AA109" s="3"/>
    </row>
    <row r="110" spans="1:27" x14ac:dyDescent="0.25">
      <c r="A110" s="7" t="s">
        <v>99</v>
      </c>
      <c r="B110" s="8"/>
      <c r="C110" s="7">
        <f>SUM(D110,E110)</f>
        <v>0</v>
      </c>
      <c r="D110" s="7">
        <f>SUM(I110,N110,S110,X110)</f>
        <v>0</v>
      </c>
      <c r="E110" s="7">
        <f>SUM(J110,O110,T110,Y110)</f>
        <v>0</v>
      </c>
      <c r="F110" s="7" t="str">
        <f t="shared" ref="F110:F138" si="45">IF(C110,ROUND(D110/C110*100,2),0) &amp; "%"</f>
        <v>0%</v>
      </c>
      <c r="G110" s="8"/>
      <c r="H110" s="7">
        <f t="shared" ref="H110:H137" si="46">+SUM(I110,J110)</f>
        <v>0</v>
      </c>
      <c r="I110" s="7">
        <v>0</v>
      </c>
      <c r="J110" s="7">
        <v>0</v>
      </c>
      <c r="K110" s="7" t="str">
        <f t="shared" ref="K110:K138" si="47">IF(H110,ROUND(I110/H110*100,2),0) &amp; "%"</f>
        <v>0%</v>
      </c>
      <c r="L110" s="8"/>
      <c r="M110" s="7">
        <f t="shared" ref="M110:M137" si="48">+SUM(N110,O110)</f>
        <v>0</v>
      </c>
      <c r="N110" s="7">
        <v>0</v>
      </c>
      <c r="O110" s="7">
        <v>0</v>
      </c>
      <c r="P110" s="7" t="str">
        <f t="shared" ref="P110:P138" si="49">IF(M110,ROUND(N110/M110*100,2),0) &amp; "%"</f>
        <v>0%</v>
      </c>
      <c r="Q110" s="8"/>
      <c r="R110" s="7">
        <f t="shared" ref="R110:R137" si="50">+SUM(S110,T110)</f>
        <v>0</v>
      </c>
      <c r="S110" s="7">
        <v>0</v>
      </c>
      <c r="T110" s="7">
        <v>0</v>
      </c>
      <c r="U110" s="7" t="str">
        <f t="shared" ref="U110:U138" si="51">IF(R110,ROUND(S110/R110*100,2),0) &amp; "%"</f>
        <v>0%</v>
      </c>
      <c r="V110" s="8"/>
      <c r="W110" s="7">
        <f t="shared" ref="W110:W137" si="52">+SUM(X110,Y110)</f>
        <v>0</v>
      </c>
      <c r="X110" s="7">
        <v>0</v>
      </c>
      <c r="Y110" s="7">
        <v>0</v>
      </c>
      <c r="Z110" s="7" t="str">
        <f t="shared" ref="Z110:Z138" si="53">IF(W110,ROUND(X110/W110*100,2),0) &amp; "%"</f>
        <v>0%</v>
      </c>
      <c r="AA110" s="3"/>
    </row>
    <row r="111" spans="1:27" x14ac:dyDescent="0.25">
      <c r="A111" s="7" t="s">
        <v>100</v>
      </c>
      <c r="B111" s="8"/>
      <c r="C111" s="7">
        <f t="shared" ref="C111:C137" si="54">SUM(D111,E111)</f>
        <v>0</v>
      </c>
      <c r="D111" s="7">
        <f t="shared" ref="D111:D137" si="55">SUM(I111,N111,S111,X111)</f>
        <v>0</v>
      </c>
      <c r="E111" s="7">
        <f t="shared" ref="E111:E137" si="56">SUM(J111,O111,T111,Y111)</f>
        <v>0</v>
      </c>
      <c r="F111" s="7" t="str">
        <f t="shared" si="45"/>
        <v>0%</v>
      </c>
      <c r="G111" s="8"/>
      <c r="H111" s="7">
        <f t="shared" si="46"/>
        <v>0</v>
      </c>
      <c r="I111" s="7">
        <v>0</v>
      </c>
      <c r="J111" s="7">
        <v>0</v>
      </c>
      <c r="K111" s="7" t="str">
        <f t="shared" si="47"/>
        <v>0%</v>
      </c>
      <c r="L111" s="8"/>
      <c r="M111" s="7">
        <f t="shared" si="48"/>
        <v>0</v>
      </c>
      <c r="N111" s="7">
        <v>0</v>
      </c>
      <c r="O111" s="7">
        <v>0</v>
      </c>
      <c r="P111" s="7" t="str">
        <f t="shared" si="49"/>
        <v>0%</v>
      </c>
      <c r="Q111" s="8"/>
      <c r="R111" s="7">
        <f t="shared" si="50"/>
        <v>0</v>
      </c>
      <c r="S111" s="7">
        <v>0</v>
      </c>
      <c r="T111" s="7">
        <v>0</v>
      </c>
      <c r="U111" s="7" t="str">
        <f t="shared" si="51"/>
        <v>0%</v>
      </c>
      <c r="V111" s="8"/>
      <c r="W111" s="7">
        <f t="shared" si="52"/>
        <v>0</v>
      </c>
      <c r="X111" s="7">
        <v>0</v>
      </c>
      <c r="Y111" s="7">
        <v>0</v>
      </c>
      <c r="Z111" s="7" t="str">
        <f t="shared" si="53"/>
        <v>0%</v>
      </c>
      <c r="AA111" s="3"/>
    </row>
    <row r="112" spans="1:27" x14ac:dyDescent="0.25">
      <c r="A112" s="7" t="s">
        <v>101</v>
      </c>
      <c r="B112" s="8"/>
      <c r="C112" s="7">
        <f t="shared" si="54"/>
        <v>0</v>
      </c>
      <c r="D112" s="7">
        <f t="shared" si="55"/>
        <v>0</v>
      </c>
      <c r="E112" s="7">
        <f t="shared" si="56"/>
        <v>0</v>
      </c>
      <c r="F112" s="7" t="str">
        <f t="shared" si="45"/>
        <v>0%</v>
      </c>
      <c r="G112" s="8"/>
      <c r="H112" s="7">
        <f t="shared" si="46"/>
        <v>0</v>
      </c>
      <c r="I112" s="7">
        <v>0</v>
      </c>
      <c r="J112" s="7">
        <v>0</v>
      </c>
      <c r="K112" s="7" t="str">
        <f t="shared" si="47"/>
        <v>0%</v>
      </c>
      <c r="L112" s="8"/>
      <c r="M112" s="7">
        <f t="shared" si="48"/>
        <v>0</v>
      </c>
      <c r="N112" s="7">
        <v>0</v>
      </c>
      <c r="O112" s="7">
        <v>0</v>
      </c>
      <c r="P112" s="7" t="str">
        <f t="shared" si="49"/>
        <v>0%</v>
      </c>
      <c r="Q112" s="8"/>
      <c r="R112" s="7">
        <f t="shared" si="50"/>
        <v>0</v>
      </c>
      <c r="S112" s="7">
        <v>0</v>
      </c>
      <c r="T112" s="7">
        <v>0</v>
      </c>
      <c r="U112" s="7" t="str">
        <f t="shared" si="51"/>
        <v>0%</v>
      </c>
      <c r="V112" s="8"/>
      <c r="W112" s="7">
        <f t="shared" si="52"/>
        <v>0</v>
      </c>
      <c r="X112" s="7">
        <v>0</v>
      </c>
      <c r="Y112" s="7">
        <v>0</v>
      </c>
      <c r="Z112" s="7" t="str">
        <f t="shared" si="53"/>
        <v>0%</v>
      </c>
      <c r="AA112" s="3"/>
    </row>
    <row r="113" spans="1:27" x14ac:dyDescent="0.25">
      <c r="A113" s="7" t="s">
        <v>102</v>
      </c>
      <c r="B113" s="8"/>
      <c r="C113" s="7">
        <f t="shared" si="54"/>
        <v>0</v>
      </c>
      <c r="D113" s="7">
        <f t="shared" si="55"/>
        <v>0</v>
      </c>
      <c r="E113" s="7">
        <f t="shared" si="56"/>
        <v>0</v>
      </c>
      <c r="F113" s="7" t="str">
        <f t="shared" si="45"/>
        <v>0%</v>
      </c>
      <c r="G113" s="8"/>
      <c r="H113" s="7">
        <f t="shared" si="46"/>
        <v>0</v>
      </c>
      <c r="I113" s="7">
        <v>0</v>
      </c>
      <c r="J113" s="7">
        <v>0</v>
      </c>
      <c r="K113" s="7" t="str">
        <f t="shared" si="47"/>
        <v>0%</v>
      </c>
      <c r="L113" s="8"/>
      <c r="M113" s="7">
        <f t="shared" si="48"/>
        <v>0</v>
      </c>
      <c r="N113" s="7">
        <v>0</v>
      </c>
      <c r="O113" s="7">
        <v>0</v>
      </c>
      <c r="P113" s="7" t="str">
        <f t="shared" si="49"/>
        <v>0%</v>
      </c>
      <c r="Q113" s="8"/>
      <c r="R113" s="7">
        <f t="shared" si="50"/>
        <v>0</v>
      </c>
      <c r="S113" s="7">
        <v>0</v>
      </c>
      <c r="T113" s="7">
        <v>0</v>
      </c>
      <c r="U113" s="7" t="str">
        <f t="shared" si="51"/>
        <v>0%</v>
      </c>
      <c r="V113" s="8"/>
      <c r="W113" s="7">
        <f t="shared" si="52"/>
        <v>0</v>
      </c>
      <c r="X113" s="7">
        <v>0</v>
      </c>
      <c r="Y113" s="7">
        <v>0</v>
      </c>
      <c r="Z113" s="7" t="str">
        <f t="shared" si="53"/>
        <v>0%</v>
      </c>
      <c r="AA113" s="3"/>
    </row>
    <row r="114" spans="1:27" x14ac:dyDescent="0.25">
      <c r="A114" s="7" t="s">
        <v>103</v>
      </c>
      <c r="B114" s="8"/>
      <c r="C114" s="7">
        <f t="shared" si="54"/>
        <v>0</v>
      </c>
      <c r="D114" s="7">
        <f t="shared" si="55"/>
        <v>0</v>
      </c>
      <c r="E114" s="7">
        <f t="shared" si="56"/>
        <v>0</v>
      </c>
      <c r="F114" s="7" t="str">
        <f t="shared" si="45"/>
        <v>0%</v>
      </c>
      <c r="G114" s="8"/>
      <c r="H114" s="7">
        <f t="shared" si="46"/>
        <v>0</v>
      </c>
      <c r="I114" s="7">
        <v>0</v>
      </c>
      <c r="J114" s="7">
        <v>0</v>
      </c>
      <c r="K114" s="7" t="str">
        <f t="shared" si="47"/>
        <v>0%</v>
      </c>
      <c r="L114" s="8"/>
      <c r="M114" s="7">
        <f t="shared" si="48"/>
        <v>0</v>
      </c>
      <c r="N114" s="7">
        <v>0</v>
      </c>
      <c r="O114" s="7">
        <v>0</v>
      </c>
      <c r="P114" s="7" t="str">
        <f t="shared" si="49"/>
        <v>0%</v>
      </c>
      <c r="Q114" s="8"/>
      <c r="R114" s="7">
        <f t="shared" si="50"/>
        <v>0</v>
      </c>
      <c r="S114" s="7">
        <v>0</v>
      </c>
      <c r="T114" s="7">
        <v>0</v>
      </c>
      <c r="U114" s="7" t="str">
        <f t="shared" si="51"/>
        <v>0%</v>
      </c>
      <c r="V114" s="8"/>
      <c r="W114" s="7">
        <f t="shared" si="52"/>
        <v>0</v>
      </c>
      <c r="X114" s="7">
        <v>0</v>
      </c>
      <c r="Y114" s="7">
        <v>0</v>
      </c>
      <c r="Z114" s="7" t="str">
        <f t="shared" si="53"/>
        <v>0%</v>
      </c>
      <c r="AA114" s="3"/>
    </row>
    <row r="115" spans="1:27" x14ac:dyDescent="0.25">
      <c r="A115" s="7" t="s">
        <v>104</v>
      </c>
      <c r="B115" s="8"/>
      <c r="C115" s="7">
        <f t="shared" si="54"/>
        <v>0</v>
      </c>
      <c r="D115" s="7">
        <f t="shared" si="55"/>
        <v>0</v>
      </c>
      <c r="E115" s="7">
        <f t="shared" si="56"/>
        <v>0</v>
      </c>
      <c r="F115" s="7" t="str">
        <f t="shared" si="45"/>
        <v>0%</v>
      </c>
      <c r="G115" s="8"/>
      <c r="H115" s="7">
        <f t="shared" si="46"/>
        <v>0</v>
      </c>
      <c r="I115" s="7">
        <v>0</v>
      </c>
      <c r="J115" s="7">
        <v>0</v>
      </c>
      <c r="K115" s="7" t="str">
        <f t="shared" si="47"/>
        <v>0%</v>
      </c>
      <c r="L115" s="8"/>
      <c r="M115" s="7">
        <f t="shared" si="48"/>
        <v>0</v>
      </c>
      <c r="N115" s="7">
        <v>0</v>
      </c>
      <c r="O115" s="7">
        <v>0</v>
      </c>
      <c r="P115" s="7" t="str">
        <f t="shared" si="49"/>
        <v>0%</v>
      </c>
      <c r="Q115" s="8"/>
      <c r="R115" s="7">
        <f t="shared" si="50"/>
        <v>0</v>
      </c>
      <c r="S115" s="7">
        <v>0</v>
      </c>
      <c r="T115" s="7">
        <v>0</v>
      </c>
      <c r="U115" s="7" t="str">
        <f t="shared" si="51"/>
        <v>0%</v>
      </c>
      <c r="V115" s="8"/>
      <c r="W115" s="7">
        <f t="shared" si="52"/>
        <v>0</v>
      </c>
      <c r="X115" s="7">
        <v>0</v>
      </c>
      <c r="Y115" s="7">
        <v>0</v>
      </c>
      <c r="Z115" s="7" t="str">
        <f t="shared" si="53"/>
        <v>0%</v>
      </c>
      <c r="AA115" s="3"/>
    </row>
    <row r="116" spans="1:27" x14ac:dyDescent="0.25">
      <c r="A116" s="7" t="s">
        <v>105</v>
      </c>
      <c r="B116" s="8"/>
      <c r="C116" s="7">
        <f t="shared" si="54"/>
        <v>0</v>
      </c>
      <c r="D116" s="7">
        <f t="shared" si="55"/>
        <v>0</v>
      </c>
      <c r="E116" s="7">
        <f t="shared" si="56"/>
        <v>0</v>
      </c>
      <c r="F116" s="7" t="str">
        <f t="shared" si="45"/>
        <v>0%</v>
      </c>
      <c r="G116" s="8"/>
      <c r="H116" s="7">
        <f t="shared" si="46"/>
        <v>0</v>
      </c>
      <c r="I116" s="7">
        <v>0</v>
      </c>
      <c r="J116" s="7">
        <v>0</v>
      </c>
      <c r="K116" s="7" t="str">
        <f t="shared" si="47"/>
        <v>0%</v>
      </c>
      <c r="L116" s="8"/>
      <c r="M116" s="7">
        <f t="shared" si="48"/>
        <v>0</v>
      </c>
      <c r="N116" s="7">
        <v>0</v>
      </c>
      <c r="O116" s="7">
        <v>0</v>
      </c>
      <c r="P116" s="7" t="str">
        <f t="shared" si="49"/>
        <v>0%</v>
      </c>
      <c r="Q116" s="8"/>
      <c r="R116" s="7">
        <f t="shared" si="50"/>
        <v>0</v>
      </c>
      <c r="S116" s="7">
        <v>0</v>
      </c>
      <c r="T116" s="7">
        <v>0</v>
      </c>
      <c r="U116" s="7" t="str">
        <f t="shared" si="51"/>
        <v>0%</v>
      </c>
      <c r="V116" s="8"/>
      <c r="W116" s="7">
        <f t="shared" si="52"/>
        <v>0</v>
      </c>
      <c r="X116" s="7">
        <v>0</v>
      </c>
      <c r="Y116" s="7">
        <v>0</v>
      </c>
      <c r="Z116" s="7" t="str">
        <f t="shared" si="53"/>
        <v>0%</v>
      </c>
      <c r="AA116" s="3"/>
    </row>
    <row r="117" spans="1:27" x14ac:dyDescent="0.25">
      <c r="A117" s="7" t="s">
        <v>106</v>
      </c>
      <c r="B117" s="8"/>
      <c r="C117" s="7">
        <f t="shared" si="54"/>
        <v>0</v>
      </c>
      <c r="D117" s="7">
        <f t="shared" si="55"/>
        <v>0</v>
      </c>
      <c r="E117" s="7">
        <f t="shared" si="56"/>
        <v>0</v>
      </c>
      <c r="F117" s="7" t="str">
        <f t="shared" si="45"/>
        <v>0%</v>
      </c>
      <c r="G117" s="8"/>
      <c r="H117" s="7">
        <f t="shared" si="46"/>
        <v>0</v>
      </c>
      <c r="I117" s="7">
        <v>0</v>
      </c>
      <c r="J117" s="7">
        <v>0</v>
      </c>
      <c r="K117" s="7" t="str">
        <f t="shared" si="47"/>
        <v>0%</v>
      </c>
      <c r="L117" s="8"/>
      <c r="M117" s="7">
        <f t="shared" si="48"/>
        <v>0</v>
      </c>
      <c r="N117" s="7">
        <v>0</v>
      </c>
      <c r="O117" s="7">
        <v>0</v>
      </c>
      <c r="P117" s="7" t="str">
        <f t="shared" si="49"/>
        <v>0%</v>
      </c>
      <c r="Q117" s="8"/>
      <c r="R117" s="7">
        <f t="shared" si="50"/>
        <v>0</v>
      </c>
      <c r="S117" s="7">
        <v>0</v>
      </c>
      <c r="T117" s="7">
        <v>0</v>
      </c>
      <c r="U117" s="7" t="str">
        <f t="shared" si="51"/>
        <v>0%</v>
      </c>
      <c r="V117" s="8"/>
      <c r="W117" s="7">
        <f t="shared" si="52"/>
        <v>0</v>
      </c>
      <c r="X117" s="7">
        <v>0</v>
      </c>
      <c r="Y117" s="7">
        <v>0</v>
      </c>
      <c r="Z117" s="7" t="str">
        <f t="shared" si="53"/>
        <v>0%</v>
      </c>
      <c r="AA117" s="3"/>
    </row>
    <row r="118" spans="1:27" x14ac:dyDescent="0.25">
      <c r="A118" s="7" t="s">
        <v>107</v>
      </c>
      <c r="B118" s="8"/>
      <c r="C118" s="7">
        <f t="shared" si="54"/>
        <v>0</v>
      </c>
      <c r="D118" s="7">
        <f t="shared" si="55"/>
        <v>0</v>
      </c>
      <c r="E118" s="7">
        <f t="shared" si="56"/>
        <v>0</v>
      </c>
      <c r="F118" s="7" t="str">
        <f t="shared" si="45"/>
        <v>0%</v>
      </c>
      <c r="G118" s="8"/>
      <c r="H118" s="7">
        <f t="shared" si="46"/>
        <v>0</v>
      </c>
      <c r="I118" s="7">
        <v>0</v>
      </c>
      <c r="J118" s="7">
        <v>0</v>
      </c>
      <c r="K118" s="7" t="str">
        <f t="shared" si="47"/>
        <v>0%</v>
      </c>
      <c r="L118" s="8"/>
      <c r="M118" s="7">
        <f t="shared" si="48"/>
        <v>0</v>
      </c>
      <c r="N118" s="7">
        <v>0</v>
      </c>
      <c r="O118" s="7">
        <v>0</v>
      </c>
      <c r="P118" s="7" t="str">
        <f t="shared" si="49"/>
        <v>0%</v>
      </c>
      <c r="Q118" s="8"/>
      <c r="R118" s="7">
        <f t="shared" si="50"/>
        <v>0</v>
      </c>
      <c r="S118" s="7">
        <v>0</v>
      </c>
      <c r="T118" s="7">
        <v>0</v>
      </c>
      <c r="U118" s="7" t="str">
        <f t="shared" si="51"/>
        <v>0%</v>
      </c>
      <c r="V118" s="8"/>
      <c r="W118" s="7">
        <f t="shared" si="52"/>
        <v>0</v>
      </c>
      <c r="X118" s="7">
        <v>0</v>
      </c>
      <c r="Y118" s="7">
        <v>0</v>
      </c>
      <c r="Z118" s="7" t="str">
        <f t="shared" si="53"/>
        <v>0%</v>
      </c>
      <c r="AA118" s="3"/>
    </row>
    <row r="119" spans="1:27" x14ac:dyDescent="0.25">
      <c r="A119" s="7" t="s">
        <v>108</v>
      </c>
      <c r="B119" s="8"/>
      <c r="C119" s="7">
        <f t="shared" si="54"/>
        <v>0</v>
      </c>
      <c r="D119" s="7">
        <f t="shared" si="55"/>
        <v>0</v>
      </c>
      <c r="E119" s="7">
        <f t="shared" si="56"/>
        <v>0</v>
      </c>
      <c r="F119" s="7" t="str">
        <f t="shared" si="45"/>
        <v>0%</v>
      </c>
      <c r="G119" s="8"/>
      <c r="H119" s="7">
        <f t="shared" si="46"/>
        <v>0</v>
      </c>
      <c r="I119" s="7">
        <v>0</v>
      </c>
      <c r="J119" s="7">
        <v>0</v>
      </c>
      <c r="K119" s="7" t="str">
        <f t="shared" si="47"/>
        <v>0%</v>
      </c>
      <c r="L119" s="8"/>
      <c r="M119" s="7">
        <f t="shared" si="48"/>
        <v>0</v>
      </c>
      <c r="N119" s="7">
        <v>0</v>
      </c>
      <c r="O119" s="7">
        <v>0</v>
      </c>
      <c r="P119" s="7" t="str">
        <f t="shared" si="49"/>
        <v>0%</v>
      </c>
      <c r="Q119" s="8"/>
      <c r="R119" s="7">
        <f t="shared" si="50"/>
        <v>0</v>
      </c>
      <c r="S119" s="7">
        <v>0</v>
      </c>
      <c r="T119" s="7">
        <v>0</v>
      </c>
      <c r="U119" s="7" t="str">
        <f t="shared" si="51"/>
        <v>0%</v>
      </c>
      <c r="V119" s="8"/>
      <c r="W119" s="7">
        <f t="shared" si="52"/>
        <v>0</v>
      </c>
      <c r="X119" s="7">
        <v>0</v>
      </c>
      <c r="Y119" s="7">
        <v>0</v>
      </c>
      <c r="Z119" s="7" t="str">
        <f t="shared" si="53"/>
        <v>0%</v>
      </c>
      <c r="AA119" s="3"/>
    </row>
    <row r="120" spans="1:27" x14ac:dyDescent="0.25">
      <c r="A120" s="7" t="s">
        <v>109</v>
      </c>
      <c r="B120" s="8"/>
      <c r="C120" s="7">
        <f t="shared" si="54"/>
        <v>0</v>
      </c>
      <c r="D120" s="7">
        <f t="shared" si="55"/>
        <v>0</v>
      </c>
      <c r="E120" s="7">
        <f t="shared" si="56"/>
        <v>0</v>
      </c>
      <c r="F120" s="7" t="str">
        <f t="shared" si="45"/>
        <v>0%</v>
      </c>
      <c r="G120" s="8"/>
      <c r="H120" s="7">
        <f t="shared" si="46"/>
        <v>0</v>
      </c>
      <c r="I120" s="7">
        <v>0</v>
      </c>
      <c r="J120" s="7">
        <v>0</v>
      </c>
      <c r="K120" s="7" t="str">
        <f t="shared" si="47"/>
        <v>0%</v>
      </c>
      <c r="L120" s="8"/>
      <c r="M120" s="7">
        <f t="shared" si="48"/>
        <v>0</v>
      </c>
      <c r="N120" s="7">
        <v>0</v>
      </c>
      <c r="O120" s="7">
        <v>0</v>
      </c>
      <c r="P120" s="7" t="str">
        <f t="shared" si="49"/>
        <v>0%</v>
      </c>
      <c r="Q120" s="8"/>
      <c r="R120" s="7">
        <f t="shared" si="50"/>
        <v>0</v>
      </c>
      <c r="S120" s="7">
        <v>0</v>
      </c>
      <c r="T120" s="7">
        <v>0</v>
      </c>
      <c r="U120" s="7" t="str">
        <f t="shared" si="51"/>
        <v>0%</v>
      </c>
      <c r="V120" s="8"/>
      <c r="W120" s="7">
        <f t="shared" si="52"/>
        <v>0</v>
      </c>
      <c r="X120" s="7">
        <v>0</v>
      </c>
      <c r="Y120" s="7">
        <v>0</v>
      </c>
      <c r="Z120" s="7" t="str">
        <f t="shared" si="53"/>
        <v>0%</v>
      </c>
      <c r="AA120" s="3"/>
    </row>
    <row r="121" spans="1:27" x14ac:dyDescent="0.25">
      <c r="A121" s="7" t="s">
        <v>110</v>
      </c>
      <c r="B121" s="8"/>
      <c r="C121" s="7">
        <f t="shared" si="54"/>
        <v>0</v>
      </c>
      <c r="D121" s="7">
        <f t="shared" si="55"/>
        <v>0</v>
      </c>
      <c r="E121" s="7">
        <f t="shared" si="56"/>
        <v>0</v>
      </c>
      <c r="F121" s="7" t="str">
        <f t="shared" si="45"/>
        <v>0%</v>
      </c>
      <c r="G121" s="8"/>
      <c r="H121" s="7">
        <f t="shared" si="46"/>
        <v>0</v>
      </c>
      <c r="I121" s="7">
        <v>0</v>
      </c>
      <c r="J121" s="7">
        <v>0</v>
      </c>
      <c r="K121" s="7" t="str">
        <f t="shared" si="47"/>
        <v>0%</v>
      </c>
      <c r="L121" s="8"/>
      <c r="M121" s="7">
        <f t="shared" si="48"/>
        <v>0</v>
      </c>
      <c r="N121" s="7">
        <v>0</v>
      </c>
      <c r="O121" s="7">
        <v>0</v>
      </c>
      <c r="P121" s="7" t="str">
        <f t="shared" si="49"/>
        <v>0%</v>
      </c>
      <c r="Q121" s="8"/>
      <c r="R121" s="7">
        <f t="shared" si="50"/>
        <v>0</v>
      </c>
      <c r="S121" s="7">
        <v>0</v>
      </c>
      <c r="T121" s="7">
        <v>0</v>
      </c>
      <c r="U121" s="7" t="str">
        <f t="shared" si="51"/>
        <v>0%</v>
      </c>
      <c r="V121" s="8"/>
      <c r="W121" s="7">
        <f t="shared" si="52"/>
        <v>0</v>
      </c>
      <c r="X121" s="7">
        <v>0</v>
      </c>
      <c r="Y121" s="7">
        <v>0</v>
      </c>
      <c r="Z121" s="7" t="str">
        <f t="shared" si="53"/>
        <v>0%</v>
      </c>
      <c r="AA121" s="3"/>
    </row>
    <row r="122" spans="1:27" x14ac:dyDescent="0.25">
      <c r="A122" s="7" t="s">
        <v>111</v>
      </c>
      <c r="B122" s="8"/>
      <c r="C122" s="7">
        <f t="shared" si="54"/>
        <v>0</v>
      </c>
      <c r="D122" s="7">
        <f t="shared" si="55"/>
        <v>0</v>
      </c>
      <c r="E122" s="7">
        <f t="shared" si="56"/>
        <v>0</v>
      </c>
      <c r="F122" s="7" t="str">
        <f t="shared" si="45"/>
        <v>0%</v>
      </c>
      <c r="G122" s="8"/>
      <c r="H122" s="7">
        <f t="shared" si="46"/>
        <v>0</v>
      </c>
      <c r="I122" s="7">
        <v>0</v>
      </c>
      <c r="J122" s="7">
        <v>0</v>
      </c>
      <c r="K122" s="7" t="str">
        <f t="shared" si="47"/>
        <v>0%</v>
      </c>
      <c r="L122" s="8"/>
      <c r="M122" s="7">
        <f t="shared" si="48"/>
        <v>0</v>
      </c>
      <c r="N122" s="7">
        <v>0</v>
      </c>
      <c r="O122" s="7">
        <v>0</v>
      </c>
      <c r="P122" s="7" t="str">
        <f t="shared" si="49"/>
        <v>0%</v>
      </c>
      <c r="Q122" s="8"/>
      <c r="R122" s="7">
        <f t="shared" si="50"/>
        <v>0</v>
      </c>
      <c r="S122" s="7">
        <v>0</v>
      </c>
      <c r="T122" s="7">
        <v>0</v>
      </c>
      <c r="U122" s="7" t="str">
        <f t="shared" si="51"/>
        <v>0%</v>
      </c>
      <c r="V122" s="8"/>
      <c r="W122" s="7">
        <f t="shared" si="52"/>
        <v>0</v>
      </c>
      <c r="X122" s="7">
        <v>0</v>
      </c>
      <c r="Y122" s="7">
        <v>0</v>
      </c>
      <c r="Z122" s="7" t="str">
        <f t="shared" si="53"/>
        <v>0%</v>
      </c>
      <c r="AA122" s="3"/>
    </row>
    <row r="123" spans="1:27" x14ac:dyDescent="0.25">
      <c r="A123" s="7" t="s">
        <v>112</v>
      </c>
      <c r="B123" s="8"/>
      <c r="C123" s="7">
        <f t="shared" si="54"/>
        <v>0</v>
      </c>
      <c r="D123" s="7">
        <f t="shared" si="55"/>
        <v>0</v>
      </c>
      <c r="E123" s="7">
        <f t="shared" si="56"/>
        <v>0</v>
      </c>
      <c r="F123" s="7" t="str">
        <f t="shared" si="45"/>
        <v>0%</v>
      </c>
      <c r="G123" s="8"/>
      <c r="H123" s="7">
        <f t="shared" si="46"/>
        <v>0</v>
      </c>
      <c r="I123" s="7">
        <v>0</v>
      </c>
      <c r="J123" s="7">
        <v>0</v>
      </c>
      <c r="K123" s="7" t="str">
        <f t="shared" si="47"/>
        <v>0%</v>
      </c>
      <c r="L123" s="8"/>
      <c r="M123" s="7">
        <f t="shared" si="48"/>
        <v>0</v>
      </c>
      <c r="N123" s="7">
        <v>0</v>
      </c>
      <c r="O123" s="7">
        <v>0</v>
      </c>
      <c r="P123" s="7" t="str">
        <f t="shared" si="49"/>
        <v>0%</v>
      </c>
      <c r="Q123" s="8"/>
      <c r="R123" s="7">
        <f t="shared" si="50"/>
        <v>0</v>
      </c>
      <c r="S123" s="7">
        <v>0</v>
      </c>
      <c r="T123" s="7">
        <v>0</v>
      </c>
      <c r="U123" s="7" t="str">
        <f t="shared" si="51"/>
        <v>0%</v>
      </c>
      <c r="V123" s="8"/>
      <c r="W123" s="7">
        <f t="shared" si="52"/>
        <v>0</v>
      </c>
      <c r="X123" s="7">
        <v>0</v>
      </c>
      <c r="Y123" s="7">
        <v>0</v>
      </c>
      <c r="Z123" s="7" t="str">
        <f t="shared" si="53"/>
        <v>0%</v>
      </c>
      <c r="AA123" s="3"/>
    </row>
    <row r="124" spans="1:27" x14ac:dyDescent="0.25">
      <c r="A124" s="7" t="s">
        <v>113</v>
      </c>
      <c r="B124" s="8"/>
      <c r="C124" s="7">
        <f t="shared" si="54"/>
        <v>0</v>
      </c>
      <c r="D124" s="7">
        <f t="shared" si="55"/>
        <v>0</v>
      </c>
      <c r="E124" s="7">
        <f t="shared" si="56"/>
        <v>0</v>
      </c>
      <c r="F124" s="7" t="str">
        <f t="shared" si="45"/>
        <v>0%</v>
      </c>
      <c r="G124" s="8"/>
      <c r="H124" s="7">
        <f t="shared" si="46"/>
        <v>0</v>
      </c>
      <c r="I124" s="7">
        <v>0</v>
      </c>
      <c r="J124" s="7">
        <v>0</v>
      </c>
      <c r="K124" s="7" t="str">
        <f t="shared" si="47"/>
        <v>0%</v>
      </c>
      <c r="L124" s="8"/>
      <c r="M124" s="7">
        <f t="shared" si="48"/>
        <v>0</v>
      </c>
      <c r="N124" s="7">
        <v>0</v>
      </c>
      <c r="O124" s="7">
        <v>0</v>
      </c>
      <c r="P124" s="7" t="str">
        <f t="shared" si="49"/>
        <v>0%</v>
      </c>
      <c r="Q124" s="8"/>
      <c r="R124" s="7">
        <f t="shared" si="50"/>
        <v>0</v>
      </c>
      <c r="S124" s="7">
        <v>0</v>
      </c>
      <c r="T124" s="7">
        <v>0</v>
      </c>
      <c r="U124" s="7" t="str">
        <f t="shared" si="51"/>
        <v>0%</v>
      </c>
      <c r="V124" s="8"/>
      <c r="W124" s="7">
        <f t="shared" si="52"/>
        <v>0</v>
      </c>
      <c r="X124" s="7">
        <v>0</v>
      </c>
      <c r="Y124" s="7">
        <v>0</v>
      </c>
      <c r="Z124" s="7" t="str">
        <f t="shared" si="53"/>
        <v>0%</v>
      </c>
      <c r="AA124" s="3"/>
    </row>
    <row r="125" spans="1:27" x14ac:dyDescent="0.25">
      <c r="A125" s="7" t="s">
        <v>114</v>
      </c>
      <c r="B125" s="8"/>
      <c r="C125" s="7">
        <f t="shared" si="54"/>
        <v>0</v>
      </c>
      <c r="D125" s="7">
        <f t="shared" si="55"/>
        <v>0</v>
      </c>
      <c r="E125" s="7">
        <f t="shared" si="56"/>
        <v>0</v>
      </c>
      <c r="F125" s="7" t="str">
        <f t="shared" si="45"/>
        <v>0%</v>
      </c>
      <c r="G125" s="8"/>
      <c r="H125" s="7">
        <f t="shared" si="46"/>
        <v>0</v>
      </c>
      <c r="I125" s="7">
        <v>0</v>
      </c>
      <c r="J125" s="7">
        <v>0</v>
      </c>
      <c r="K125" s="7" t="str">
        <f t="shared" si="47"/>
        <v>0%</v>
      </c>
      <c r="L125" s="8"/>
      <c r="M125" s="7">
        <f t="shared" si="48"/>
        <v>0</v>
      </c>
      <c r="N125" s="7">
        <v>0</v>
      </c>
      <c r="O125" s="7">
        <v>0</v>
      </c>
      <c r="P125" s="7" t="str">
        <f t="shared" si="49"/>
        <v>0%</v>
      </c>
      <c r="Q125" s="8"/>
      <c r="R125" s="7">
        <f t="shared" si="50"/>
        <v>0</v>
      </c>
      <c r="S125" s="7">
        <v>0</v>
      </c>
      <c r="T125" s="7">
        <v>0</v>
      </c>
      <c r="U125" s="7" t="str">
        <f t="shared" si="51"/>
        <v>0%</v>
      </c>
      <c r="V125" s="8"/>
      <c r="W125" s="7">
        <f t="shared" si="52"/>
        <v>0</v>
      </c>
      <c r="X125" s="7">
        <v>0</v>
      </c>
      <c r="Y125" s="7">
        <v>0</v>
      </c>
      <c r="Z125" s="7" t="str">
        <f t="shared" si="53"/>
        <v>0%</v>
      </c>
      <c r="AA125" s="3"/>
    </row>
    <row r="126" spans="1:27" x14ac:dyDescent="0.25">
      <c r="A126" s="7" t="s">
        <v>115</v>
      </c>
      <c r="B126" s="8"/>
      <c r="C126" s="7">
        <f t="shared" si="54"/>
        <v>0</v>
      </c>
      <c r="D126" s="7">
        <f t="shared" si="55"/>
        <v>0</v>
      </c>
      <c r="E126" s="7">
        <f t="shared" si="56"/>
        <v>0</v>
      </c>
      <c r="F126" s="7" t="str">
        <f t="shared" si="45"/>
        <v>0%</v>
      </c>
      <c r="G126" s="8"/>
      <c r="H126" s="7">
        <f t="shared" si="46"/>
        <v>0</v>
      </c>
      <c r="I126" s="7">
        <v>0</v>
      </c>
      <c r="J126" s="7">
        <v>0</v>
      </c>
      <c r="K126" s="7" t="str">
        <f t="shared" si="47"/>
        <v>0%</v>
      </c>
      <c r="L126" s="8"/>
      <c r="M126" s="7">
        <f t="shared" si="48"/>
        <v>0</v>
      </c>
      <c r="N126" s="7">
        <v>0</v>
      </c>
      <c r="O126" s="7">
        <v>0</v>
      </c>
      <c r="P126" s="7" t="str">
        <f t="shared" si="49"/>
        <v>0%</v>
      </c>
      <c r="Q126" s="8"/>
      <c r="R126" s="7">
        <f t="shared" si="50"/>
        <v>0</v>
      </c>
      <c r="S126" s="7">
        <v>0</v>
      </c>
      <c r="T126" s="7">
        <v>0</v>
      </c>
      <c r="U126" s="7" t="str">
        <f t="shared" si="51"/>
        <v>0%</v>
      </c>
      <c r="V126" s="8"/>
      <c r="W126" s="7">
        <f t="shared" si="52"/>
        <v>0</v>
      </c>
      <c r="X126" s="7">
        <v>0</v>
      </c>
      <c r="Y126" s="7">
        <v>0</v>
      </c>
      <c r="Z126" s="7" t="str">
        <f t="shared" si="53"/>
        <v>0%</v>
      </c>
      <c r="AA126" s="3"/>
    </row>
    <row r="127" spans="1:27" x14ac:dyDescent="0.25">
      <c r="A127" s="7" t="s">
        <v>116</v>
      </c>
      <c r="B127" s="8"/>
      <c r="C127" s="7">
        <f t="shared" si="54"/>
        <v>0</v>
      </c>
      <c r="D127" s="7">
        <f t="shared" si="55"/>
        <v>0</v>
      </c>
      <c r="E127" s="7">
        <f t="shared" si="56"/>
        <v>0</v>
      </c>
      <c r="F127" s="7" t="str">
        <f t="shared" si="45"/>
        <v>0%</v>
      </c>
      <c r="G127" s="8"/>
      <c r="H127" s="7">
        <f t="shared" si="46"/>
        <v>0</v>
      </c>
      <c r="I127" s="7">
        <v>0</v>
      </c>
      <c r="J127" s="7">
        <v>0</v>
      </c>
      <c r="K127" s="7" t="str">
        <f t="shared" si="47"/>
        <v>0%</v>
      </c>
      <c r="L127" s="8"/>
      <c r="M127" s="7">
        <f t="shared" si="48"/>
        <v>0</v>
      </c>
      <c r="N127" s="7">
        <v>0</v>
      </c>
      <c r="O127" s="7">
        <v>0</v>
      </c>
      <c r="P127" s="7" t="str">
        <f t="shared" si="49"/>
        <v>0%</v>
      </c>
      <c r="Q127" s="8"/>
      <c r="R127" s="7">
        <f t="shared" si="50"/>
        <v>0</v>
      </c>
      <c r="S127" s="7">
        <v>0</v>
      </c>
      <c r="T127" s="7">
        <v>0</v>
      </c>
      <c r="U127" s="7" t="str">
        <f t="shared" si="51"/>
        <v>0%</v>
      </c>
      <c r="V127" s="8"/>
      <c r="W127" s="7">
        <f t="shared" si="52"/>
        <v>0</v>
      </c>
      <c r="X127" s="7">
        <v>0</v>
      </c>
      <c r="Y127" s="7">
        <v>0</v>
      </c>
      <c r="Z127" s="7" t="str">
        <f t="shared" si="53"/>
        <v>0%</v>
      </c>
      <c r="AA127" s="3"/>
    </row>
    <row r="128" spans="1:27" x14ac:dyDescent="0.25">
      <c r="A128" s="7" t="s">
        <v>117</v>
      </c>
      <c r="B128" s="8"/>
      <c r="C128" s="7">
        <f t="shared" si="54"/>
        <v>0</v>
      </c>
      <c r="D128" s="7">
        <f t="shared" si="55"/>
        <v>0</v>
      </c>
      <c r="E128" s="7">
        <f t="shared" si="56"/>
        <v>0</v>
      </c>
      <c r="F128" s="7" t="str">
        <f t="shared" si="45"/>
        <v>0%</v>
      </c>
      <c r="G128" s="8"/>
      <c r="H128" s="7">
        <f t="shared" si="46"/>
        <v>0</v>
      </c>
      <c r="I128" s="7">
        <v>0</v>
      </c>
      <c r="J128" s="7">
        <v>0</v>
      </c>
      <c r="K128" s="7" t="str">
        <f t="shared" si="47"/>
        <v>0%</v>
      </c>
      <c r="L128" s="8"/>
      <c r="M128" s="7">
        <f t="shared" si="48"/>
        <v>0</v>
      </c>
      <c r="N128" s="7">
        <v>0</v>
      </c>
      <c r="O128" s="7">
        <v>0</v>
      </c>
      <c r="P128" s="7" t="str">
        <f t="shared" si="49"/>
        <v>0%</v>
      </c>
      <c r="Q128" s="8"/>
      <c r="R128" s="7">
        <f t="shared" si="50"/>
        <v>0</v>
      </c>
      <c r="S128" s="7">
        <v>0</v>
      </c>
      <c r="T128" s="7">
        <v>0</v>
      </c>
      <c r="U128" s="7" t="str">
        <f t="shared" si="51"/>
        <v>0%</v>
      </c>
      <c r="V128" s="8"/>
      <c r="W128" s="7">
        <f t="shared" si="52"/>
        <v>0</v>
      </c>
      <c r="X128" s="7">
        <v>0</v>
      </c>
      <c r="Y128" s="7">
        <v>0</v>
      </c>
      <c r="Z128" s="7" t="str">
        <f t="shared" si="53"/>
        <v>0%</v>
      </c>
      <c r="AA128" s="3"/>
    </row>
    <row r="129" spans="1:27" x14ac:dyDescent="0.25">
      <c r="A129" s="7" t="s">
        <v>118</v>
      </c>
      <c r="B129" s="8"/>
      <c r="C129" s="7">
        <f t="shared" si="54"/>
        <v>0</v>
      </c>
      <c r="D129" s="7">
        <f t="shared" si="55"/>
        <v>0</v>
      </c>
      <c r="E129" s="7">
        <f t="shared" si="56"/>
        <v>0</v>
      </c>
      <c r="F129" s="7" t="str">
        <f t="shared" si="45"/>
        <v>0%</v>
      </c>
      <c r="G129" s="8"/>
      <c r="H129" s="7">
        <f t="shared" si="46"/>
        <v>0</v>
      </c>
      <c r="I129" s="7">
        <v>0</v>
      </c>
      <c r="J129" s="7">
        <v>0</v>
      </c>
      <c r="K129" s="7" t="str">
        <f t="shared" si="47"/>
        <v>0%</v>
      </c>
      <c r="L129" s="8"/>
      <c r="M129" s="7">
        <f t="shared" si="48"/>
        <v>0</v>
      </c>
      <c r="N129" s="7">
        <v>0</v>
      </c>
      <c r="O129" s="7">
        <v>0</v>
      </c>
      <c r="P129" s="7" t="str">
        <f t="shared" si="49"/>
        <v>0%</v>
      </c>
      <c r="Q129" s="8"/>
      <c r="R129" s="7">
        <f t="shared" si="50"/>
        <v>0</v>
      </c>
      <c r="S129" s="7">
        <v>0</v>
      </c>
      <c r="T129" s="7">
        <v>0</v>
      </c>
      <c r="U129" s="7" t="str">
        <f t="shared" si="51"/>
        <v>0%</v>
      </c>
      <c r="V129" s="8"/>
      <c r="W129" s="7">
        <f t="shared" si="52"/>
        <v>0</v>
      </c>
      <c r="X129" s="7">
        <v>0</v>
      </c>
      <c r="Y129" s="7">
        <v>0</v>
      </c>
      <c r="Z129" s="7" t="str">
        <f t="shared" si="53"/>
        <v>0%</v>
      </c>
      <c r="AA129" s="3"/>
    </row>
    <row r="130" spans="1:27" x14ac:dyDescent="0.25">
      <c r="A130" s="7" t="s">
        <v>119</v>
      </c>
      <c r="B130" s="8"/>
      <c r="C130" s="7">
        <f t="shared" si="54"/>
        <v>0</v>
      </c>
      <c r="D130" s="7">
        <f t="shared" si="55"/>
        <v>0</v>
      </c>
      <c r="E130" s="7">
        <f t="shared" si="56"/>
        <v>0</v>
      </c>
      <c r="F130" s="7" t="str">
        <f t="shared" si="45"/>
        <v>0%</v>
      </c>
      <c r="G130" s="8"/>
      <c r="H130" s="7">
        <f t="shared" si="46"/>
        <v>0</v>
      </c>
      <c r="I130" s="7">
        <v>0</v>
      </c>
      <c r="J130" s="7">
        <v>0</v>
      </c>
      <c r="K130" s="7" t="str">
        <f t="shared" si="47"/>
        <v>0%</v>
      </c>
      <c r="L130" s="8"/>
      <c r="M130" s="7">
        <f t="shared" si="48"/>
        <v>0</v>
      </c>
      <c r="N130" s="7">
        <v>0</v>
      </c>
      <c r="O130" s="7">
        <v>0</v>
      </c>
      <c r="P130" s="7" t="str">
        <f t="shared" si="49"/>
        <v>0%</v>
      </c>
      <c r="Q130" s="8"/>
      <c r="R130" s="7">
        <f t="shared" si="50"/>
        <v>0</v>
      </c>
      <c r="S130" s="7">
        <v>0</v>
      </c>
      <c r="T130" s="7">
        <v>0</v>
      </c>
      <c r="U130" s="7" t="str">
        <f t="shared" si="51"/>
        <v>0%</v>
      </c>
      <c r="V130" s="8"/>
      <c r="W130" s="7">
        <f t="shared" si="52"/>
        <v>0</v>
      </c>
      <c r="X130" s="7">
        <v>0</v>
      </c>
      <c r="Y130" s="7">
        <v>0</v>
      </c>
      <c r="Z130" s="7" t="str">
        <f t="shared" si="53"/>
        <v>0%</v>
      </c>
      <c r="AA130" s="3"/>
    </row>
    <row r="131" spans="1:27" x14ac:dyDescent="0.25">
      <c r="A131" s="7" t="s">
        <v>120</v>
      </c>
      <c r="B131" s="8"/>
      <c r="C131" s="7">
        <f t="shared" si="54"/>
        <v>0</v>
      </c>
      <c r="D131" s="7">
        <f t="shared" si="55"/>
        <v>0</v>
      </c>
      <c r="E131" s="7">
        <f t="shared" si="56"/>
        <v>0</v>
      </c>
      <c r="F131" s="7" t="str">
        <f t="shared" si="45"/>
        <v>0%</v>
      </c>
      <c r="G131" s="8"/>
      <c r="H131" s="7">
        <f t="shared" si="46"/>
        <v>0</v>
      </c>
      <c r="I131" s="7">
        <v>0</v>
      </c>
      <c r="J131" s="7">
        <v>0</v>
      </c>
      <c r="K131" s="7" t="str">
        <f t="shared" si="47"/>
        <v>0%</v>
      </c>
      <c r="L131" s="8"/>
      <c r="M131" s="7">
        <f t="shared" si="48"/>
        <v>0</v>
      </c>
      <c r="N131" s="7">
        <v>0</v>
      </c>
      <c r="O131" s="7">
        <v>0</v>
      </c>
      <c r="P131" s="7" t="str">
        <f t="shared" si="49"/>
        <v>0%</v>
      </c>
      <c r="Q131" s="8"/>
      <c r="R131" s="7">
        <f t="shared" si="50"/>
        <v>0</v>
      </c>
      <c r="S131" s="7">
        <v>0</v>
      </c>
      <c r="T131" s="7">
        <v>0</v>
      </c>
      <c r="U131" s="7" t="str">
        <f t="shared" si="51"/>
        <v>0%</v>
      </c>
      <c r="V131" s="8"/>
      <c r="W131" s="7">
        <f t="shared" si="52"/>
        <v>0</v>
      </c>
      <c r="X131" s="7">
        <v>0</v>
      </c>
      <c r="Y131" s="7">
        <v>0</v>
      </c>
      <c r="Z131" s="7" t="str">
        <f t="shared" si="53"/>
        <v>0%</v>
      </c>
      <c r="AA131" s="3"/>
    </row>
    <row r="132" spans="1:27" x14ac:dyDescent="0.25">
      <c r="A132" s="7" t="s">
        <v>121</v>
      </c>
      <c r="B132" s="8"/>
      <c r="C132" s="7">
        <f t="shared" si="54"/>
        <v>0</v>
      </c>
      <c r="D132" s="7">
        <f t="shared" si="55"/>
        <v>0</v>
      </c>
      <c r="E132" s="7">
        <f t="shared" si="56"/>
        <v>0</v>
      </c>
      <c r="F132" s="7" t="str">
        <f t="shared" si="45"/>
        <v>0%</v>
      </c>
      <c r="G132" s="8"/>
      <c r="H132" s="7">
        <f t="shared" si="46"/>
        <v>0</v>
      </c>
      <c r="I132" s="7">
        <v>0</v>
      </c>
      <c r="J132" s="7">
        <v>0</v>
      </c>
      <c r="K132" s="7" t="str">
        <f t="shared" si="47"/>
        <v>0%</v>
      </c>
      <c r="L132" s="8"/>
      <c r="M132" s="7">
        <f t="shared" si="48"/>
        <v>0</v>
      </c>
      <c r="N132" s="7">
        <v>0</v>
      </c>
      <c r="O132" s="7">
        <v>0</v>
      </c>
      <c r="P132" s="7" t="str">
        <f t="shared" si="49"/>
        <v>0%</v>
      </c>
      <c r="Q132" s="8"/>
      <c r="R132" s="7">
        <f t="shared" si="50"/>
        <v>0</v>
      </c>
      <c r="S132" s="7">
        <v>0</v>
      </c>
      <c r="T132" s="7">
        <v>0</v>
      </c>
      <c r="U132" s="7" t="str">
        <f t="shared" si="51"/>
        <v>0%</v>
      </c>
      <c r="V132" s="8"/>
      <c r="W132" s="7">
        <f t="shared" si="52"/>
        <v>0</v>
      </c>
      <c r="X132" s="7">
        <v>0</v>
      </c>
      <c r="Y132" s="7">
        <v>0</v>
      </c>
      <c r="Z132" s="7" t="str">
        <f t="shared" si="53"/>
        <v>0%</v>
      </c>
      <c r="AA132" s="3"/>
    </row>
    <row r="133" spans="1:27" x14ac:dyDescent="0.25">
      <c r="A133" s="7" t="s">
        <v>122</v>
      </c>
      <c r="B133" s="8"/>
      <c r="C133" s="7">
        <f t="shared" si="54"/>
        <v>0</v>
      </c>
      <c r="D133" s="7">
        <f t="shared" si="55"/>
        <v>0</v>
      </c>
      <c r="E133" s="7">
        <f t="shared" si="56"/>
        <v>0</v>
      </c>
      <c r="F133" s="7" t="str">
        <f t="shared" si="45"/>
        <v>0%</v>
      </c>
      <c r="G133" s="8"/>
      <c r="H133" s="7">
        <f t="shared" si="46"/>
        <v>0</v>
      </c>
      <c r="I133" s="7">
        <v>0</v>
      </c>
      <c r="J133" s="7">
        <v>0</v>
      </c>
      <c r="K133" s="7" t="str">
        <f t="shared" si="47"/>
        <v>0%</v>
      </c>
      <c r="L133" s="8"/>
      <c r="M133" s="7">
        <f t="shared" si="48"/>
        <v>0</v>
      </c>
      <c r="N133" s="7">
        <v>0</v>
      </c>
      <c r="O133" s="7">
        <v>0</v>
      </c>
      <c r="P133" s="7" t="str">
        <f t="shared" si="49"/>
        <v>0%</v>
      </c>
      <c r="Q133" s="8"/>
      <c r="R133" s="7">
        <f t="shared" si="50"/>
        <v>0</v>
      </c>
      <c r="S133" s="7">
        <v>0</v>
      </c>
      <c r="T133" s="7">
        <v>0</v>
      </c>
      <c r="U133" s="7" t="str">
        <f t="shared" si="51"/>
        <v>0%</v>
      </c>
      <c r="V133" s="8"/>
      <c r="W133" s="7">
        <f t="shared" si="52"/>
        <v>0</v>
      </c>
      <c r="X133" s="7">
        <v>0</v>
      </c>
      <c r="Y133" s="7">
        <v>0</v>
      </c>
      <c r="Z133" s="7" t="str">
        <f t="shared" si="53"/>
        <v>0%</v>
      </c>
      <c r="AA133" s="3"/>
    </row>
    <row r="134" spans="1:27" x14ac:dyDescent="0.25">
      <c r="A134" s="7" t="s">
        <v>156</v>
      </c>
      <c r="B134" s="8"/>
      <c r="C134" s="7">
        <f t="shared" si="54"/>
        <v>0</v>
      </c>
      <c r="D134" s="7">
        <f t="shared" si="55"/>
        <v>0</v>
      </c>
      <c r="E134" s="7">
        <f t="shared" si="56"/>
        <v>0</v>
      </c>
      <c r="F134" s="7" t="str">
        <f t="shared" si="45"/>
        <v>0%</v>
      </c>
      <c r="G134" s="8"/>
      <c r="H134" s="7">
        <f t="shared" si="46"/>
        <v>0</v>
      </c>
      <c r="I134" s="7">
        <v>0</v>
      </c>
      <c r="J134" s="7">
        <v>0</v>
      </c>
      <c r="K134" s="7" t="str">
        <f t="shared" si="47"/>
        <v>0%</v>
      </c>
      <c r="L134" s="8"/>
      <c r="M134" s="7">
        <f t="shared" si="48"/>
        <v>0</v>
      </c>
      <c r="N134" s="7">
        <v>0</v>
      </c>
      <c r="O134" s="7">
        <v>0</v>
      </c>
      <c r="P134" s="7" t="str">
        <f t="shared" si="49"/>
        <v>0%</v>
      </c>
      <c r="Q134" s="8"/>
      <c r="R134" s="7">
        <f t="shared" si="50"/>
        <v>0</v>
      </c>
      <c r="S134" s="7">
        <v>0</v>
      </c>
      <c r="T134" s="7">
        <v>0</v>
      </c>
      <c r="U134" s="7" t="str">
        <f t="shared" si="51"/>
        <v>0%</v>
      </c>
      <c r="V134" s="8"/>
      <c r="W134" s="7">
        <f t="shared" si="52"/>
        <v>0</v>
      </c>
      <c r="X134" s="7">
        <v>0</v>
      </c>
      <c r="Y134" s="7">
        <v>0</v>
      </c>
      <c r="Z134" s="7" t="str">
        <f t="shared" si="53"/>
        <v>0%</v>
      </c>
      <c r="AA134" s="3"/>
    </row>
    <row r="135" spans="1:27" x14ac:dyDescent="0.25">
      <c r="A135" s="7" t="s">
        <v>159</v>
      </c>
      <c r="B135" s="8"/>
      <c r="C135" s="7">
        <f t="shared" si="54"/>
        <v>0</v>
      </c>
      <c r="D135" s="7">
        <f t="shared" si="55"/>
        <v>0</v>
      </c>
      <c r="E135" s="7">
        <f t="shared" si="56"/>
        <v>0</v>
      </c>
      <c r="F135" s="7" t="str">
        <f t="shared" si="45"/>
        <v>0%</v>
      </c>
      <c r="G135" s="8"/>
      <c r="H135" s="7">
        <f t="shared" si="46"/>
        <v>0</v>
      </c>
      <c r="I135" s="7">
        <v>0</v>
      </c>
      <c r="J135" s="7">
        <v>0</v>
      </c>
      <c r="K135" s="7" t="str">
        <f t="shared" si="47"/>
        <v>0%</v>
      </c>
      <c r="L135" s="8"/>
      <c r="M135" s="7">
        <f t="shared" si="48"/>
        <v>0</v>
      </c>
      <c r="N135" s="7">
        <v>0</v>
      </c>
      <c r="O135" s="7">
        <v>0</v>
      </c>
      <c r="P135" s="7" t="str">
        <f t="shared" si="49"/>
        <v>0%</v>
      </c>
      <c r="Q135" s="8"/>
      <c r="R135" s="7">
        <f t="shared" si="50"/>
        <v>0</v>
      </c>
      <c r="S135" s="7">
        <v>0</v>
      </c>
      <c r="T135" s="7">
        <v>0</v>
      </c>
      <c r="U135" s="7" t="str">
        <f t="shared" si="51"/>
        <v>0%</v>
      </c>
      <c r="V135" s="8"/>
      <c r="W135" s="7">
        <f t="shared" si="52"/>
        <v>0</v>
      </c>
      <c r="X135" s="7">
        <v>0</v>
      </c>
      <c r="Y135" s="7">
        <v>0</v>
      </c>
      <c r="Z135" s="7" t="str">
        <f t="shared" si="53"/>
        <v>0%</v>
      </c>
      <c r="AA135" s="3"/>
    </row>
    <row r="136" spans="1:27" x14ac:dyDescent="0.25">
      <c r="A136" s="7" t="s">
        <v>155</v>
      </c>
      <c r="B136" s="8"/>
      <c r="C136" s="7">
        <f t="shared" si="54"/>
        <v>0</v>
      </c>
      <c r="D136" s="7">
        <f t="shared" si="55"/>
        <v>0</v>
      </c>
      <c r="E136" s="7">
        <f t="shared" si="56"/>
        <v>0</v>
      </c>
      <c r="F136" s="7" t="str">
        <f t="shared" si="45"/>
        <v>0%</v>
      </c>
      <c r="G136" s="8"/>
      <c r="H136" s="7">
        <f t="shared" si="46"/>
        <v>0</v>
      </c>
      <c r="I136" s="7">
        <v>0</v>
      </c>
      <c r="J136" s="7">
        <v>0</v>
      </c>
      <c r="K136" s="7" t="str">
        <f t="shared" si="47"/>
        <v>0%</v>
      </c>
      <c r="L136" s="8"/>
      <c r="M136" s="7">
        <f t="shared" si="48"/>
        <v>0</v>
      </c>
      <c r="N136" s="7">
        <v>0</v>
      </c>
      <c r="O136" s="7">
        <v>0</v>
      </c>
      <c r="P136" s="7" t="str">
        <f t="shared" si="49"/>
        <v>0%</v>
      </c>
      <c r="Q136" s="8"/>
      <c r="R136" s="7">
        <f t="shared" si="50"/>
        <v>0</v>
      </c>
      <c r="S136" s="7">
        <v>0</v>
      </c>
      <c r="T136" s="7">
        <v>0</v>
      </c>
      <c r="U136" s="7" t="str">
        <f t="shared" si="51"/>
        <v>0%</v>
      </c>
      <c r="V136" s="8"/>
      <c r="W136" s="7">
        <f t="shared" si="52"/>
        <v>0</v>
      </c>
      <c r="X136" s="7">
        <v>0</v>
      </c>
      <c r="Y136" s="7">
        <v>0</v>
      </c>
      <c r="Z136" s="7" t="str">
        <f t="shared" si="53"/>
        <v>0%</v>
      </c>
      <c r="AA136" s="3"/>
    </row>
    <row r="137" spans="1:27" x14ac:dyDescent="0.25">
      <c r="A137" s="7" t="s">
        <v>152</v>
      </c>
      <c r="B137" s="8"/>
      <c r="C137" s="7">
        <f t="shared" si="54"/>
        <v>0</v>
      </c>
      <c r="D137" s="7">
        <f t="shared" si="55"/>
        <v>0</v>
      </c>
      <c r="E137" s="7">
        <f t="shared" si="56"/>
        <v>0</v>
      </c>
      <c r="F137" s="7" t="str">
        <f t="shared" si="45"/>
        <v>0%</v>
      </c>
      <c r="G137" s="8"/>
      <c r="H137" s="7">
        <f t="shared" si="46"/>
        <v>0</v>
      </c>
      <c r="I137" s="7">
        <v>0</v>
      </c>
      <c r="J137" s="7">
        <v>0</v>
      </c>
      <c r="K137" s="7" t="str">
        <f t="shared" si="47"/>
        <v>0%</v>
      </c>
      <c r="L137" s="8"/>
      <c r="M137" s="7">
        <f t="shared" si="48"/>
        <v>0</v>
      </c>
      <c r="N137" s="7">
        <v>0</v>
      </c>
      <c r="O137" s="7">
        <v>0</v>
      </c>
      <c r="P137" s="7" t="str">
        <f t="shared" si="49"/>
        <v>0%</v>
      </c>
      <c r="Q137" s="8"/>
      <c r="R137" s="7">
        <f t="shared" si="50"/>
        <v>0</v>
      </c>
      <c r="S137" s="7">
        <v>0</v>
      </c>
      <c r="T137" s="7">
        <v>0</v>
      </c>
      <c r="U137" s="7" t="str">
        <f t="shared" si="51"/>
        <v>0%</v>
      </c>
      <c r="V137" s="8"/>
      <c r="W137" s="7">
        <f t="shared" si="52"/>
        <v>0</v>
      </c>
      <c r="X137" s="7">
        <v>0</v>
      </c>
      <c r="Y137" s="7">
        <v>0</v>
      </c>
      <c r="Z137" s="7" t="str">
        <f t="shared" si="53"/>
        <v>0%</v>
      </c>
      <c r="AA137" s="3"/>
    </row>
    <row r="138" spans="1:27" x14ac:dyDescent="0.25">
      <c r="A138" s="7" t="s">
        <v>175</v>
      </c>
      <c r="B138" s="8"/>
      <c r="C138" s="7">
        <f>SUM(C110:C137)</f>
        <v>0</v>
      </c>
      <c r="D138" s="7">
        <f>SUM(D110:D137)</f>
        <v>0</v>
      </c>
      <c r="E138" s="7">
        <f>SUM(E110:E137)</f>
        <v>0</v>
      </c>
      <c r="F138" s="7" t="str">
        <f t="shared" si="45"/>
        <v>0%</v>
      </c>
      <c r="G138" s="8"/>
      <c r="H138" s="7">
        <f>SUM(H110:H137)</f>
        <v>0</v>
      </c>
      <c r="I138" s="7">
        <f>SUM(I110:I137)</f>
        <v>0</v>
      </c>
      <c r="J138" s="7">
        <f>SUM(J110:J137)</f>
        <v>0</v>
      </c>
      <c r="K138" s="7" t="str">
        <f t="shared" si="47"/>
        <v>0%</v>
      </c>
      <c r="L138" s="8"/>
      <c r="M138" s="7">
        <f>SUM(M110:M137)</f>
        <v>0</v>
      </c>
      <c r="N138" s="7">
        <f>SUM(N110:N137)</f>
        <v>0</v>
      </c>
      <c r="O138" s="7">
        <f>SUM(O110:O137)</f>
        <v>0</v>
      </c>
      <c r="P138" s="7" t="str">
        <f t="shared" si="49"/>
        <v>0%</v>
      </c>
      <c r="Q138" s="8"/>
      <c r="R138" s="7">
        <f>SUM(R110:R137)</f>
        <v>0</v>
      </c>
      <c r="S138" s="7">
        <f>SUM(S110:S137)</f>
        <v>0</v>
      </c>
      <c r="T138" s="7">
        <f>SUM(T110:T137)</f>
        <v>0</v>
      </c>
      <c r="U138" s="7" t="str">
        <f t="shared" si="51"/>
        <v>0%</v>
      </c>
      <c r="V138" s="8"/>
      <c r="W138" s="7">
        <f>SUM(W110:W137)</f>
        <v>0</v>
      </c>
      <c r="X138" s="7">
        <f>SUM(X110:X137)</f>
        <v>0</v>
      </c>
      <c r="Y138" s="7">
        <f>SUM(Y110:Y137)</f>
        <v>0</v>
      </c>
      <c r="Z138" s="7" t="str">
        <f t="shared" si="53"/>
        <v>0%</v>
      </c>
      <c r="AA138" s="3"/>
    </row>
    <row r="139" spans="1:27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x14ac:dyDescent="0.25">
      <c r="A141" s="12" t="s">
        <v>124</v>
      </c>
      <c r="B141" s="11"/>
      <c r="C141" s="12" t="s">
        <v>71</v>
      </c>
      <c r="D141" s="12" t="s">
        <v>72</v>
      </c>
      <c r="E141" s="12" t="s">
        <v>147</v>
      </c>
      <c r="F141" s="12" t="s">
        <v>74</v>
      </c>
      <c r="G141" s="11"/>
      <c r="H141" s="12" t="s">
        <v>71</v>
      </c>
      <c r="I141" s="12" t="s">
        <v>72</v>
      </c>
      <c r="J141" s="12" t="s">
        <v>147</v>
      </c>
      <c r="K141" s="12" t="s">
        <v>74</v>
      </c>
      <c r="L141" s="11"/>
      <c r="M141" s="12" t="s">
        <v>71</v>
      </c>
      <c r="N141" s="12" t="s">
        <v>72</v>
      </c>
      <c r="O141" s="12" t="s">
        <v>147</v>
      </c>
      <c r="P141" s="12" t="s">
        <v>74</v>
      </c>
      <c r="Q141" s="11"/>
      <c r="R141" s="12" t="s">
        <v>71</v>
      </c>
      <c r="S141" s="12" t="s">
        <v>72</v>
      </c>
      <c r="T141" s="12" t="s">
        <v>147</v>
      </c>
      <c r="U141" s="12" t="s">
        <v>74</v>
      </c>
      <c r="V141" s="11"/>
      <c r="W141" s="12" t="s">
        <v>71</v>
      </c>
      <c r="X141" s="12" t="s">
        <v>72</v>
      </c>
      <c r="Y141" s="12" t="s">
        <v>147</v>
      </c>
      <c r="Z141" s="12" t="s">
        <v>74</v>
      </c>
      <c r="AA141" s="3"/>
    </row>
    <row r="142" spans="1:27" x14ac:dyDescent="0.25">
      <c r="A142" s="12" t="s">
        <v>125</v>
      </c>
      <c r="B142" s="11"/>
      <c r="C142" s="12">
        <f>SUM(D142,E142)</f>
        <v>0</v>
      </c>
      <c r="D142" s="12">
        <f>SUM(I142,N142,S142,X142)</f>
        <v>0</v>
      </c>
      <c r="E142" s="12">
        <f>SUM(J142,O142,T142,Y142)</f>
        <v>0</v>
      </c>
      <c r="F142" s="13" t="str">
        <f t="shared" ref="F142:F162" si="57">IF(C142,ROUND(D142/C142*100,2),0) &amp; "%"</f>
        <v>0%</v>
      </c>
      <c r="G142" s="11"/>
      <c r="H142" s="12">
        <f t="shared" ref="H142:H161" si="58">+SUM(I142,J142)</f>
        <v>0</v>
      </c>
      <c r="I142" s="13">
        <v>0</v>
      </c>
      <c r="J142" s="13">
        <v>0</v>
      </c>
      <c r="K142" s="13" t="str">
        <f t="shared" ref="K142:K162" si="59">IF(H142,ROUND(I142/H142*100,2),0) &amp; "%"</f>
        <v>0%</v>
      </c>
      <c r="L142" s="11"/>
      <c r="M142" s="12">
        <f t="shared" ref="M142:M161" si="60">+SUM(N142,O142)</f>
        <v>0</v>
      </c>
      <c r="N142" s="13">
        <v>0</v>
      </c>
      <c r="O142" s="13">
        <v>0</v>
      </c>
      <c r="P142" s="13" t="str">
        <f t="shared" ref="P142:P162" si="61">IF(M142,ROUND(N142/M142*100,2),0) &amp; "%"</f>
        <v>0%</v>
      </c>
      <c r="Q142" s="14"/>
      <c r="R142" s="12">
        <f t="shared" ref="R142:R161" si="62">+SUM(S142,T142)</f>
        <v>0</v>
      </c>
      <c r="S142" s="13">
        <v>0</v>
      </c>
      <c r="T142" s="13">
        <v>0</v>
      </c>
      <c r="U142" s="13" t="str">
        <f t="shared" ref="U142:U162" si="63">IF(R142,ROUND(S142/R142*100,2),0) &amp; "%"</f>
        <v>0%</v>
      </c>
      <c r="V142" s="14"/>
      <c r="W142" s="12">
        <f t="shared" ref="W142:W161" si="64">+SUM(X142,Y142)</f>
        <v>0</v>
      </c>
      <c r="X142" s="13">
        <v>0</v>
      </c>
      <c r="Y142" s="13">
        <v>0</v>
      </c>
      <c r="Z142" s="13" t="str">
        <f t="shared" ref="Z142:Z162" si="65">IF(W142,ROUND(X142/W142*100,2),0) &amp; "%"</f>
        <v>0%</v>
      </c>
      <c r="AA142" s="3"/>
    </row>
    <row r="143" spans="1:27" x14ac:dyDescent="0.25">
      <c r="A143" s="12" t="s">
        <v>126</v>
      </c>
      <c r="B143" s="11"/>
      <c r="C143" s="12">
        <f t="shared" ref="C143:C161" si="66">SUM(D143,E143)</f>
        <v>0</v>
      </c>
      <c r="D143" s="12">
        <f t="shared" ref="D143:D161" si="67">SUM(I143,N143,S143,X143)</f>
        <v>0</v>
      </c>
      <c r="E143" s="12">
        <f t="shared" ref="E143:E161" si="68">SUM(J143,O143,T143,Y143)</f>
        <v>0</v>
      </c>
      <c r="F143" s="13" t="str">
        <f t="shared" si="57"/>
        <v>0%</v>
      </c>
      <c r="G143" s="11"/>
      <c r="H143" s="12">
        <f t="shared" si="58"/>
        <v>0</v>
      </c>
      <c r="I143" s="13">
        <v>0</v>
      </c>
      <c r="J143" s="13">
        <v>0</v>
      </c>
      <c r="K143" s="13" t="str">
        <f t="shared" si="59"/>
        <v>0%</v>
      </c>
      <c r="L143" s="11"/>
      <c r="M143" s="12">
        <f t="shared" si="60"/>
        <v>0</v>
      </c>
      <c r="N143" s="13">
        <v>0</v>
      </c>
      <c r="O143" s="13">
        <v>0</v>
      </c>
      <c r="P143" s="13" t="str">
        <f t="shared" si="61"/>
        <v>0%</v>
      </c>
      <c r="Q143" s="14"/>
      <c r="R143" s="12">
        <f t="shared" si="62"/>
        <v>0</v>
      </c>
      <c r="S143" s="13">
        <v>0</v>
      </c>
      <c r="T143" s="13">
        <v>0</v>
      </c>
      <c r="U143" s="13" t="str">
        <f t="shared" si="63"/>
        <v>0%</v>
      </c>
      <c r="V143" s="14"/>
      <c r="W143" s="12">
        <f t="shared" si="64"/>
        <v>0</v>
      </c>
      <c r="X143" s="13">
        <v>0</v>
      </c>
      <c r="Y143" s="13">
        <v>0</v>
      </c>
      <c r="Z143" s="13" t="str">
        <f t="shared" si="65"/>
        <v>0%</v>
      </c>
      <c r="AA143" s="3"/>
    </row>
    <row r="144" spans="1:27" x14ac:dyDescent="0.25">
      <c r="A144" s="12" t="s">
        <v>127</v>
      </c>
      <c r="B144" s="11"/>
      <c r="C144" s="12">
        <f t="shared" si="66"/>
        <v>0</v>
      </c>
      <c r="D144" s="12">
        <f t="shared" si="67"/>
        <v>0</v>
      </c>
      <c r="E144" s="12">
        <f t="shared" si="68"/>
        <v>0</v>
      </c>
      <c r="F144" s="13" t="str">
        <f t="shared" si="57"/>
        <v>0%</v>
      </c>
      <c r="G144" s="11"/>
      <c r="H144" s="12">
        <f t="shared" si="58"/>
        <v>0</v>
      </c>
      <c r="I144" s="13">
        <v>0</v>
      </c>
      <c r="J144" s="13">
        <v>0</v>
      </c>
      <c r="K144" s="13" t="str">
        <f t="shared" si="59"/>
        <v>0%</v>
      </c>
      <c r="L144" s="11"/>
      <c r="M144" s="12">
        <f t="shared" si="60"/>
        <v>0</v>
      </c>
      <c r="N144" s="13">
        <v>0</v>
      </c>
      <c r="O144" s="13">
        <v>0</v>
      </c>
      <c r="P144" s="13" t="str">
        <f t="shared" si="61"/>
        <v>0%</v>
      </c>
      <c r="Q144" s="14"/>
      <c r="R144" s="12">
        <f t="shared" si="62"/>
        <v>0</v>
      </c>
      <c r="S144" s="13">
        <v>0</v>
      </c>
      <c r="T144" s="13">
        <v>0</v>
      </c>
      <c r="U144" s="13" t="str">
        <f t="shared" si="63"/>
        <v>0%</v>
      </c>
      <c r="V144" s="14"/>
      <c r="W144" s="12">
        <f t="shared" si="64"/>
        <v>0</v>
      </c>
      <c r="X144" s="13">
        <v>0</v>
      </c>
      <c r="Y144" s="13">
        <v>0</v>
      </c>
      <c r="Z144" s="13" t="str">
        <f t="shared" si="65"/>
        <v>0%</v>
      </c>
      <c r="AA144" s="3"/>
    </row>
    <row r="145" spans="1:27" x14ac:dyDescent="0.25">
      <c r="A145" s="12" t="s">
        <v>128</v>
      </c>
      <c r="B145" s="11"/>
      <c r="C145" s="12">
        <f t="shared" si="66"/>
        <v>0</v>
      </c>
      <c r="D145" s="12">
        <f t="shared" si="67"/>
        <v>0</v>
      </c>
      <c r="E145" s="12">
        <f t="shared" si="68"/>
        <v>0</v>
      </c>
      <c r="F145" s="13" t="str">
        <f t="shared" si="57"/>
        <v>0%</v>
      </c>
      <c r="G145" s="11"/>
      <c r="H145" s="12">
        <f t="shared" si="58"/>
        <v>0</v>
      </c>
      <c r="I145" s="13">
        <v>0</v>
      </c>
      <c r="J145" s="13">
        <v>0</v>
      </c>
      <c r="K145" s="13" t="str">
        <f t="shared" si="59"/>
        <v>0%</v>
      </c>
      <c r="L145" s="11"/>
      <c r="M145" s="12">
        <f t="shared" si="60"/>
        <v>0</v>
      </c>
      <c r="N145" s="13">
        <v>0</v>
      </c>
      <c r="O145" s="13">
        <v>0</v>
      </c>
      <c r="P145" s="13" t="str">
        <f t="shared" si="61"/>
        <v>0%</v>
      </c>
      <c r="Q145" s="14"/>
      <c r="R145" s="12">
        <f t="shared" si="62"/>
        <v>0</v>
      </c>
      <c r="S145" s="13">
        <v>0</v>
      </c>
      <c r="T145" s="13">
        <v>0</v>
      </c>
      <c r="U145" s="13" t="str">
        <f t="shared" si="63"/>
        <v>0%</v>
      </c>
      <c r="V145" s="14"/>
      <c r="W145" s="12">
        <f t="shared" si="64"/>
        <v>0</v>
      </c>
      <c r="X145" s="13">
        <v>0</v>
      </c>
      <c r="Y145" s="13">
        <v>0</v>
      </c>
      <c r="Z145" s="13" t="str">
        <f t="shared" si="65"/>
        <v>0%</v>
      </c>
      <c r="AA145" s="3"/>
    </row>
    <row r="146" spans="1:27" x14ac:dyDescent="0.25">
      <c r="A146" s="12" t="s">
        <v>129</v>
      </c>
      <c r="B146" s="11"/>
      <c r="C146" s="12">
        <f t="shared" si="66"/>
        <v>0</v>
      </c>
      <c r="D146" s="12">
        <f t="shared" si="67"/>
        <v>0</v>
      </c>
      <c r="E146" s="12">
        <f t="shared" si="68"/>
        <v>0</v>
      </c>
      <c r="F146" s="13" t="str">
        <f t="shared" si="57"/>
        <v>0%</v>
      </c>
      <c r="G146" s="11"/>
      <c r="H146" s="12">
        <f t="shared" si="58"/>
        <v>0</v>
      </c>
      <c r="I146" s="13">
        <v>0</v>
      </c>
      <c r="J146" s="13">
        <v>0</v>
      </c>
      <c r="K146" s="13" t="str">
        <f t="shared" si="59"/>
        <v>0%</v>
      </c>
      <c r="L146" s="11"/>
      <c r="M146" s="12">
        <f t="shared" si="60"/>
        <v>0</v>
      </c>
      <c r="N146" s="13">
        <v>0</v>
      </c>
      <c r="O146" s="13">
        <v>0</v>
      </c>
      <c r="P146" s="13" t="str">
        <f t="shared" si="61"/>
        <v>0%</v>
      </c>
      <c r="Q146" s="14"/>
      <c r="R146" s="12">
        <f t="shared" si="62"/>
        <v>0</v>
      </c>
      <c r="S146" s="13">
        <v>0</v>
      </c>
      <c r="T146" s="13">
        <v>0</v>
      </c>
      <c r="U146" s="13" t="str">
        <f t="shared" si="63"/>
        <v>0%</v>
      </c>
      <c r="V146" s="14"/>
      <c r="W146" s="12">
        <f t="shared" si="64"/>
        <v>0</v>
      </c>
      <c r="X146" s="13">
        <v>0</v>
      </c>
      <c r="Y146" s="13">
        <v>0</v>
      </c>
      <c r="Z146" s="13" t="str">
        <f t="shared" si="65"/>
        <v>0%</v>
      </c>
      <c r="AA146" s="3"/>
    </row>
    <row r="147" spans="1:27" x14ac:dyDescent="0.25">
      <c r="A147" s="12" t="s">
        <v>130</v>
      </c>
      <c r="B147" s="11"/>
      <c r="C147" s="12">
        <f t="shared" si="66"/>
        <v>0</v>
      </c>
      <c r="D147" s="12">
        <f t="shared" si="67"/>
        <v>0</v>
      </c>
      <c r="E147" s="12">
        <f t="shared" si="68"/>
        <v>0</v>
      </c>
      <c r="F147" s="13" t="str">
        <f t="shared" si="57"/>
        <v>0%</v>
      </c>
      <c r="G147" s="11"/>
      <c r="H147" s="12">
        <f t="shared" si="58"/>
        <v>0</v>
      </c>
      <c r="I147" s="13">
        <v>0</v>
      </c>
      <c r="J147" s="13">
        <v>0</v>
      </c>
      <c r="K147" s="13" t="str">
        <f t="shared" si="59"/>
        <v>0%</v>
      </c>
      <c r="L147" s="11"/>
      <c r="M147" s="12">
        <f t="shared" si="60"/>
        <v>0</v>
      </c>
      <c r="N147" s="13">
        <v>0</v>
      </c>
      <c r="O147" s="13">
        <v>0</v>
      </c>
      <c r="P147" s="13" t="str">
        <f t="shared" si="61"/>
        <v>0%</v>
      </c>
      <c r="Q147" s="14"/>
      <c r="R147" s="12">
        <f t="shared" si="62"/>
        <v>0</v>
      </c>
      <c r="S147" s="13">
        <v>0</v>
      </c>
      <c r="T147" s="13">
        <v>0</v>
      </c>
      <c r="U147" s="13" t="str">
        <f t="shared" si="63"/>
        <v>0%</v>
      </c>
      <c r="V147" s="14"/>
      <c r="W147" s="12">
        <f t="shared" si="64"/>
        <v>0</v>
      </c>
      <c r="X147" s="13">
        <v>0</v>
      </c>
      <c r="Y147" s="13">
        <v>0</v>
      </c>
      <c r="Z147" s="13" t="str">
        <f t="shared" si="65"/>
        <v>0%</v>
      </c>
      <c r="AA147" s="3"/>
    </row>
    <row r="148" spans="1:27" x14ac:dyDescent="0.25">
      <c r="A148" s="12" t="s">
        <v>131</v>
      </c>
      <c r="B148" s="11"/>
      <c r="C148" s="12">
        <f t="shared" si="66"/>
        <v>0</v>
      </c>
      <c r="D148" s="12">
        <f t="shared" si="67"/>
        <v>0</v>
      </c>
      <c r="E148" s="12">
        <f t="shared" si="68"/>
        <v>0</v>
      </c>
      <c r="F148" s="13" t="str">
        <f t="shared" si="57"/>
        <v>0%</v>
      </c>
      <c r="G148" s="11"/>
      <c r="H148" s="12">
        <f t="shared" si="58"/>
        <v>0</v>
      </c>
      <c r="I148" s="13">
        <v>0</v>
      </c>
      <c r="J148" s="13">
        <v>0</v>
      </c>
      <c r="K148" s="13" t="str">
        <f t="shared" si="59"/>
        <v>0%</v>
      </c>
      <c r="L148" s="11"/>
      <c r="M148" s="12">
        <f t="shared" si="60"/>
        <v>0</v>
      </c>
      <c r="N148" s="13">
        <v>0</v>
      </c>
      <c r="O148" s="13">
        <v>0</v>
      </c>
      <c r="P148" s="13" t="str">
        <f t="shared" si="61"/>
        <v>0%</v>
      </c>
      <c r="Q148" s="14"/>
      <c r="R148" s="12">
        <f t="shared" si="62"/>
        <v>0</v>
      </c>
      <c r="S148" s="13">
        <v>0</v>
      </c>
      <c r="T148" s="13">
        <v>0</v>
      </c>
      <c r="U148" s="13" t="str">
        <f t="shared" si="63"/>
        <v>0%</v>
      </c>
      <c r="V148" s="14"/>
      <c r="W148" s="12">
        <f t="shared" si="64"/>
        <v>0</v>
      </c>
      <c r="X148" s="13">
        <v>0</v>
      </c>
      <c r="Y148" s="13">
        <v>0</v>
      </c>
      <c r="Z148" s="13" t="str">
        <f t="shared" si="65"/>
        <v>0%</v>
      </c>
      <c r="AA148" s="3"/>
    </row>
    <row r="149" spans="1:27" x14ac:dyDescent="0.25">
      <c r="A149" s="12" t="s">
        <v>132</v>
      </c>
      <c r="B149" s="11"/>
      <c r="C149" s="12">
        <f t="shared" si="66"/>
        <v>0</v>
      </c>
      <c r="D149" s="12">
        <f t="shared" si="67"/>
        <v>0</v>
      </c>
      <c r="E149" s="12">
        <f t="shared" si="68"/>
        <v>0</v>
      </c>
      <c r="F149" s="13" t="str">
        <f t="shared" si="57"/>
        <v>0%</v>
      </c>
      <c r="G149" s="11"/>
      <c r="H149" s="12">
        <f t="shared" si="58"/>
        <v>0</v>
      </c>
      <c r="I149" s="13">
        <v>0</v>
      </c>
      <c r="J149" s="13">
        <v>0</v>
      </c>
      <c r="K149" s="13" t="str">
        <f t="shared" si="59"/>
        <v>0%</v>
      </c>
      <c r="L149" s="11"/>
      <c r="M149" s="12">
        <f t="shared" si="60"/>
        <v>0</v>
      </c>
      <c r="N149" s="13">
        <v>0</v>
      </c>
      <c r="O149" s="13">
        <v>0</v>
      </c>
      <c r="P149" s="13" t="str">
        <f t="shared" si="61"/>
        <v>0%</v>
      </c>
      <c r="Q149" s="14"/>
      <c r="R149" s="12">
        <f t="shared" si="62"/>
        <v>0</v>
      </c>
      <c r="S149" s="13">
        <v>0</v>
      </c>
      <c r="T149" s="13">
        <v>0</v>
      </c>
      <c r="U149" s="13" t="str">
        <f t="shared" si="63"/>
        <v>0%</v>
      </c>
      <c r="V149" s="14"/>
      <c r="W149" s="12">
        <f t="shared" si="64"/>
        <v>0</v>
      </c>
      <c r="X149" s="13">
        <v>0</v>
      </c>
      <c r="Y149" s="13">
        <v>0</v>
      </c>
      <c r="Z149" s="13" t="str">
        <f t="shared" si="65"/>
        <v>0%</v>
      </c>
      <c r="AA149" s="3"/>
    </row>
    <row r="150" spans="1:27" x14ac:dyDescent="0.25">
      <c r="A150" s="12" t="s">
        <v>133</v>
      </c>
      <c r="B150" s="11"/>
      <c r="C150" s="12">
        <f t="shared" si="66"/>
        <v>0</v>
      </c>
      <c r="D150" s="12">
        <f t="shared" si="67"/>
        <v>0</v>
      </c>
      <c r="E150" s="12">
        <f t="shared" si="68"/>
        <v>0</v>
      </c>
      <c r="F150" s="13" t="str">
        <f t="shared" si="57"/>
        <v>0%</v>
      </c>
      <c r="G150" s="11"/>
      <c r="H150" s="12">
        <f t="shared" si="58"/>
        <v>0</v>
      </c>
      <c r="I150" s="13">
        <v>0</v>
      </c>
      <c r="J150" s="13">
        <v>0</v>
      </c>
      <c r="K150" s="13" t="str">
        <f t="shared" si="59"/>
        <v>0%</v>
      </c>
      <c r="L150" s="11"/>
      <c r="M150" s="12">
        <f t="shared" si="60"/>
        <v>0</v>
      </c>
      <c r="N150" s="13">
        <v>0</v>
      </c>
      <c r="O150" s="13">
        <v>0</v>
      </c>
      <c r="P150" s="13" t="str">
        <f t="shared" si="61"/>
        <v>0%</v>
      </c>
      <c r="Q150" s="14"/>
      <c r="R150" s="12">
        <f t="shared" si="62"/>
        <v>0</v>
      </c>
      <c r="S150" s="13">
        <v>0</v>
      </c>
      <c r="T150" s="13">
        <v>0</v>
      </c>
      <c r="U150" s="13" t="str">
        <f t="shared" si="63"/>
        <v>0%</v>
      </c>
      <c r="V150" s="14"/>
      <c r="W150" s="12">
        <f t="shared" si="64"/>
        <v>0</v>
      </c>
      <c r="X150" s="13">
        <v>0</v>
      </c>
      <c r="Y150" s="13">
        <v>0</v>
      </c>
      <c r="Z150" s="13" t="str">
        <f t="shared" si="65"/>
        <v>0%</v>
      </c>
      <c r="AA150" s="3"/>
    </row>
    <row r="151" spans="1:27" x14ac:dyDescent="0.25">
      <c r="A151" s="12" t="s">
        <v>134</v>
      </c>
      <c r="B151" s="11"/>
      <c r="C151" s="12">
        <f t="shared" si="66"/>
        <v>0</v>
      </c>
      <c r="D151" s="12">
        <f t="shared" si="67"/>
        <v>0</v>
      </c>
      <c r="E151" s="12">
        <f t="shared" si="68"/>
        <v>0</v>
      </c>
      <c r="F151" s="13" t="str">
        <f t="shared" si="57"/>
        <v>0%</v>
      </c>
      <c r="G151" s="11"/>
      <c r="H151" s="12">
        <f t="shared" si="58"/>
        <v>0</v>
      </c>
      <c r="I151" s="13">
        <v>0</v>
      </c>
      <c r="J151" s="13">
        <v>0</v>
      </c>
      <c r="K151" s="13" t="str">
        <f t="shared" si="59"/>
        <v>0%</v>
      </c>
      <c r="L151" s="11"/>
      <c r="M151" s="12">
        <f t="shared" si="60"/>
        <v>0</v>
      </c>
      <c r="N151" s="13">
        <v>0</v>
      </c>
      <c r="O151" s="13">
        <v>0</v>
      </c>
      <c r="P151" s="13" t="str">
        <f t="shared" si="61"/>
        <v>0%</v>
      </c>
      <c r="Q151" s="14"/>
      <c r="R151" s="12">
        <f t="shared" si="62"/>
        <v>0</v>
      </c>
      <c r="S151" s="13">
        <v>0</v>
      </c>
      <c r="T151" s="13">
        <v>0</v>
      </c>
      <c r="U151" s="13" t="str">
        <f t="shared" si="63"/>
        <v>0%</v>
      </c>
      <c r="V151" s="14"/>
      <c r="W151" s="12">
        <f t="shared" si="64"/>
        <v>0</v>
      </c>
      <c r="X151" s="13">
        <v>0</v>
      </c>
      <c r="Y151" s="13">
        <v>0</v>
      </c>
      <c r="Z151" s="13" t="str">
        <f t="shared" si="65"/>
        <v>0%</v>
      </c>
      <c r="AA151" s="3"/>
    </row>
    <row r="152" spans="1:27" x14ac:dyDescent="0.25">
      <c r="A152" s="12" t="s">
        <v>135</v>
      </c>
      <c r="B152" s="11"/>
      <c r="C152" s="12">
        <f t="shared" si="66"/>
        <v>0</v>
      </c>
      <c r="D152" s="12">
        <f t="shared" si="67"/>
        <v>0</v>
      </c>
      <c r="E152" s="12">
        <f t="shared" si="68"/>
        <v>0</v>
      </c>
      <c r="F152" s="13" t="str">
        <f t="shared" si="57"/>
        <v>0%</v>
      </c>
      <c r="G152" s="11"/>
      <c r="H152" s="12">
        <f t="shared" si="58"/>
        <v>0</v>
      </c>
      <c r="I152" s="13">
        <v>0</v>
      </c>
      <c r="J152" s="13">
        <v>0</v>
      </c>
      <c r="K152" s="13" t="str">
        <f t="shared" si="59"/>
        <v>0%</v>
      </c>
      <c r="L152" s="11"/>
      <c r="M152" s="12">
        <f t="shared" si="60"/>
        <v>0</v>
      </c>
      <c r="N152" s="13">
        <v>0</v>
      </c>
      <c r="O152" s="13">
        <v>0</v>
      </c>
      <c r="P152" s="13" t="str">
        <f t="shared" si="61"/>
        <v>0%</v>
      </c>
      <c r="Q152" s="14"/>
      <c r="R152" s="12">
        <f t="shared" si="62"/>
        <v>0</v>
      </c>
      <c r="S152" s="13">
        <v>0</v>
      </c>
      <c r="T152" s="13">
        <v>0</v>
      </c>
      <c r="U152" s="13" t="str">
        <f t="shared" si="63"/>
        <v>0%</v>
      </c>
      <c r="V152" s="14"/>
      <c r="W152" s="12">
        <f t="shared" si="64"/>
        <v>0</v>
      </c>
      <c r="X152" s="13">
        <v>0</v>
      </c>
      <c r="Y152" s="13">
        <v>0</v>
      </c>
      <c r="Z152" s="13" t="str">
        <f t="shared" si="65"/>
        <v>0%</v>
      </c>
      <c r="AA152" s="3"/>
    </row>
    <row r="153" spans="1:27" x14ac:dyDescent="0.25">
      <c r="A153" s="12" t="s">
        <v>136</v>
      </c>
      <c r="B153" s="11"/>
      <c r="C153" s="12">
        <f t="shared" si="66"/>
        <v>0</v>
      </c>
      <c r="D153" s="12">
        <f t="shared" si="67"/>
        <v>0</v>
      </c>
      <c r="E153" s="12">
        <f t="shared" si="68"/>
        <v>0</v>
      </c>
      <c r="F153" s="13" t="str">
        <f t="shared" si="57"/>
        <v>0%</v>
      </c>
      <c r="G153" s="11"/>
      <c r="H153" s="12">
        <f t="shared" si="58"/>
        <v>0</v>
      </c>
      <c r="I153" s="13">
        <v>0</v>
      </c>
      <c r="J153" s="13">
        <v>0</v>
      </c>
      <c r="K153" s="13" t="str">
        <f t="shared" si="59"/>
        <v>0%</v>
      </c>
      <c r="L153" s="11"/>
      <c r="M153" s="12">
        <f t="shared" si="60"/>
        <v>0</v>
      </c>
      <c r="N153" s="13">
        <v>0</v>
      </c>
      <c r="O153" s="13">
        <v>0</v>
      </c>
      <c r="P153" s="13" t="str">
        <f t="shared" si="61"/>
        <v>0%</v>
      </c>
      <c r="Q153" s="14"/>
      <c r="R153" s="12">
        <f t="shared" si="62"/>
        <v>0</v>
      </c>
      <c r="S153" s="13">
        <v>0</v>
      </c>
      <c r="T153" s="13">
        <v>0</v>
      </c>
      <c r="U153" s="13" t="str">
        <f t="shared" si="63"/>
        <v>0%</v>
      </c>
      <c r="V153" s="14"/>
      <c r="W153" s="12">
        <f t="shared" si="64"/>
        <v>0</v>
      </c>
      <c r="X153" s="13">
        <v>0</v>
      </c>
      <c r="Y153" s="13">
        <v>0</v>
      </c>
      <c r="Z153" s="13" t="str">
        <f t="shared" si="65"/>
        <v>0%</v>
      </c>
      <c r="AA153" s="3"/>
    </row>
    <row r="154" spans="1:27" x14ac:dyDescent="0.25">
      <c r="A154" s="12" t="s">
        <v>137</v>
      </c>
      <c r="B154" s="11"/>
      <c r="C154" s="12">
        <f t="shared" si="66"/>
        <v>0</v>
      </c>
      <c r="D154" s="12">
        <f t="shared" si="67"/>
        <v>0</v>
      </c>
      <c r="E154" s="12">
        <f t="shared" si="68"/>
        <v>0</v>
      </c>
      <c r="F154" s="13" t="str">
        <f t="shared" si="57"/>
        <v>0%</v>
      </c>
      <c r="G154" s="11"/>
      <c r="H154" s="12">
        <f t="shared" si="58"/>
        <v>0</v>
      </c>
      <c r="I154" s="13">
        <v>0</v>
      </c>
      <c r="J154" s="13">
        <v>0</v>
      </c>
      <c r="K154" s="13" t="str">
        <f t="shared" si="59"/>
        <v>0%</v>
      </c>
      <c r="L154" s="11"/>
      <c r="M154" s="12">
        <f t="shared" si="60"/>
        <v>0</v>
      </c>
      <c r="N154" s="13">
        <v>0</v>
      </c>
      <c r="O154" s="13">
        <v>0</v>
      </c>
      <c r="P154" s="13" t="str">
        <f t="shared" si="61"/>
        <v>0%</v>
      </c>
      <c r="Q154" s="14"/>
      <c r="R154" s="12">
        <f t="shared" si="62"/>
        <v>0</v>
      </c>
      <c r="S154" s="13">
        <v>0</v>
      </c>
      <c r="T154" s="13">
        <v>0</v>
      </c>
      <c r="U154" s="13" t="str">
        <f t="shared" si="63"/>
        <v>0%</v>
      </c>
      <c r="V154" s="14"/>
      <c r="W154" s="12">
        <f t="shared" si="64"/>
        <v>0</v>
      </c>
      <c r="X154" s="13">
        <v>0</v>
      </c>
      <c r="Y154" s="13">
        <v>0</v>
      </c>
      <c r="Z154" s="13" t="str">
        <f t="shared" si="65"/>
        <v>0%</v>
      </c>
      <c r="AA154" s="3"/>
    </row>
    <row r="155" spans="1:27" x14ac:dyDescent="0.25">
      <c r="A155" s="12" t="s">
        <v>138</v>
      </c>
      <c r="B155" s="11"/>
      <c r="C155" s="12">
        <f t="shared" si="66"/>
        <v>0</v>
      </c>
      <c r="D155" s="12">
        <f t="shared" si="67"/>
        <v>0</v>
      </c>
      <c r="E155" s="12">
        <f t="shared" si="68"/>
        <v>0</v>
      </c>
      <c r="F155" s="13" t="str">
        <f t="shared" si="57"/>
        <v>0%</v>
      </c>
      <c r="G155" s="11"/>
      <c r="H155" s="12">
        <f t="shared" si="58"/>
        <v>0</v>
      </c>
      <c r="I155" s="13">
        <v>0</v>
      </c>
      <c r="J155" s="13">
        <v>0</v>
      </c>
      <c r="K155" s="13" t="str">
        <f t="shared" si="59"/>
        <v>0%</v>
      </c>
      <c r="L155" s="11"/>
      <c r="M155" s="12">
        <f t="shared" si="60"/>
        <v>0</v>
      </c>
      <c r="N155" s="13">
        <v>0</v>
      </c>
      <c r="O155" s="13">
        <v>0</v>
      </c>
      <c r="P155" s="13" t="str">
        <f t="shared" si="61"/>
        <v>0%</v>
      </c>
      <c r="Q155" s="14"/>
      <c r="R155" s="12">
        <f t="shared" si="62"/>
        <v>0</v>
      </c>
      <c r="S155" s="13">
        <v>0</v>
      </c>
      <c r="T155" s="13">
        <v>0</v>
      </c>
      <c r="U155" s="13" t="str">
        <f t="shared" si="63"/>
        <v>0%</v>
      </c>
      <c r="V155" s="14"/>
      <c r="W155" s="12">
        <f t="shared" si="64"/>
        <v>0</v>
      </c>
      <c r="X155" s="13">
        <v>0</v>
      </c>
      <c r="Y155" s="13">
        <v>0</v>
      </c>
      <c r="Z155" s="13" t="str">
        <f t="shared" si="65"/>
        <v>0%</v>
      </c>
      <c r="AA155" s="3"/>
    </row>
    <row r="156" spans="1:27" x14ac:dyDescent="0.25">
      <c r="A156" s="12" t="s">
        <v>139</v>
      </c>
      <c r="B156" s="11"/>
      <c r="C156" s="12">
        <f t="shared" si="66"/>
        <v>0</v>
      </c>
      <c r="D156" s="12">
        <f t="shared" si="67"/>
        <v>0</v>
      </c>
      <c r="E156" s="12">
        <f t="shared" si="68"/>
        <v>0</v>
      </c>
      <c r="F156" s="13" t="str">
        <f t="shared" si="57"/>
        <v>0%</v>
      </c>
      <c r="G156" s="11"/>
      <c r="H156" s="12">
        <f t="shared" si="58"/>
        <v>0</v>
      </c>
      <c r="I156" s="13">
        <v>0</v>
      </c>
      <c r="J156" s="13">
        <v>0</v>
      </c>
      <c r="K156" s="13" t="str">
        <f t="shared" si="59"/>
        <v>0%</v>
      </c>
      <c r="L156" s="11"/>
      <c r="M156" s="12">
        <f t="shared" si="60"/>
        <v>0</v>
      </c>
      <c r="N156" s="13">
        <v>0</v>
      </c>
      <c r="O156" s="13">
        <v>0</v>
      </c>
      <c r="P156" s="13" t="str">
        <f t="shared" si="61"/>
        <v>0%</v>
      </c>
      <c r="Q156" s="14"/>
      <c r="R156" s="12">
        <f t="shared" si="62"/>
        <v>0</v>
      </c>
      <c r="S156" s="13">
        <v>0</v>
      </c>
      <c r="T156" s="13">
        <v>0</v>
      </c>
      <c r="U156" s="13" t="str">
        <f t="shared" si="63"/>
        <v>0%</v>
      </c>
      <c r="V156" s="14"/>
      <c r="W156" s="12">
        <f t="shared" si="64"/>
        <v>0</v>
      </c>
      <c r="X156" s="13">
        <v>0</v>
      </c>
      <c r="Y156" s="13">
        <v>0</v>
      </c>
      <c r="Z156" s="13" t="str">
        <f t="shared" si="65"/>
        <v>0%</v>
      </c>
      <c r="AA156" s="3"/>
    </row>
    <row r="157" spans="1:27" x14ac:dyDescent="0.25">
      <c r="A157" s="12" t="s">
        <v>140</v>
      </c>
      <c r="B157" s="11"/>
      <c r="C157" s="12">
        <f t="shared" si="66"/>
        <v>0</v>
      </c>
      <c r="D157" s="12">
        <f t="shared" si="67"/>
        <v>0</v>
      </c>
      <c r="E157" s="12">
        <f t="shared" si="68"/>
        <v>0</v>
      </c>
      <c r="F157" s="13" t="str">
        <f t="shared" si="57"/>
        <v>0%</v>
      </c>
      <c r="G157" s="11"/>
      <c r="H157" s="12">
        <f t="shared" si="58"/>
        <v>0</v>
      </c>
      <c r="I157" s="13">
        <v>0</v>
      </c>
      <c r="J157" s="13">
        <v>0</v>
      </c>
      <c r="K157" s="13" t="str">
        <f t="shared" si="59"/>
        <v>0%</v>
      </c>
      <c r="L157" s="11"/>
      <c r="M157" s="12">
        <f t="shared" si="60"/>
        <v>0</v>
      </c>
      <c r="N157" s="13">
        <v>0</v>
      </c>
      <c r="O157" s="13">
        <v>0</v>
      </c>
      <c r="P157" s="13" t="str">
        <f t="shared" si="61"/>
        <v>0%</v>
      </c>
      <c r="Q157" s="14"/>
      <c r="R157" s="12">
        <f t="shared" si="62"/>
        <v>0</v>
      </c>
      <c r="S157" s="13">
        <v>0</v>
      </c>
      <c r="T157" s="13">
        <v>0</v>
      </c>
      <c r="U157" s="13" t="str">
        <f t="shared" si="63"/>
        <v>0%</v>
      </c>
      <c r="V157" s="14"/>
      <c r="W157" s="12">
        <f t="shared" si="64"/>
        <v>0</v>
      </c>
      <c r="X157" s="13">
        <v>0</v>
      </c>
      <c r="Y157" s="13">
        <v>0</v>
      </c>
      <c r="Z157" s="13" t="str">
        <f t="shared" si="65"/>
        <v>0%</v>
      </c>
      <c r="AA157" s="3"/>
    </row>
    <row r="158" spans="1:27" x14ac:dyDescent="0.25">
      <c r="A158" s="12" t="s">
        <v>141</v>
      </c>
      <c r="B158" s="11"/>
      <c r="C158" s="12">
        <f t="shared" si="66"/>
        <v>0</v>
      </c>
      <c r="D158" s="12">
        <f t="shared" si="67"/>
        <v>0</v>
      </c>
      <c r="E158" s="12">
        <f t="shared" si="68"/>
        <v>0</v>
      </c>
      <c r="F158" s="13" t="str">
        <f t="shared" si="57"/>
        <v>0%</v>
      </c>
      <c r="G158" s="11"/>
      <c r="H158" s="12">
        <f t="shared" si="58"/>
        <v>0</v>
      </c>
      <c r="I158" s="13">
        <v>0</v>
      </c>
      <c r="J158" s="13">
        <v>0</v>
      </c>
      <c r="K158" s="13" t="str">
        <f t="shared" si="59"/>
        <v>0%</v>
      </c>
      <c r="L158" s="11"/>
      <c r="M158" s="12">
        <f t="shared" si="60"/>
        <v>0</v>
      </c>
      <c r="N158" s="13">
        <v>0</v>
      </c>
      <c r="O158" s="13">
        <v>0</v>
      </c>
      <c r="P158" s="13" t="str">
        <f t="shared" si="61"/>
        <v>0%</v>
      </c>
      <c r="Q158" s="14"/>
      <c r="R158" s="12">
        <f t="shared" si="62"/>
        <v>0</v>
      </c>
      <c r="S158" s="13">
        <v>0</v>
      </c>
      <c r="T158" s="13">
        <v>0</v>
      </c>
      <c r="U158" s="13" t="str">
        <f t="shared" si="63"/>
        <v>0%</v>
      </c>
      <c r="V158" s="14"/>
      <c r="W158" s="12">
        <f t="shared" si="64"/>
        <v>0</v>
      </c>
      <c r="X158" s="13">
        <v>0</v>
      </c>
      <c r="Y158" s="13">
        <v>0</v>
      </c>
      <c r="Z158" s="13" t="str">
        <f t="shared" si="65"/>
        <v>0%</v>
      </c>
      <c r="AA158" s="3"/>
    </row>
    <row r="159" spans="1:27" x14ac:dyDescent="0.25">
      <c r="A159" s="12" t="s">
        <v>142</v>
      </c>
      <c r="B159" s="11"/>
      <c r="C159" s="12">
        <f t="shared" si="66"/>
        <v>0</v>
      </c>
      <c r="D159" s="12">
        <f t="shared" si="67"/>
        <v>0</v>
      </c>
      <c r="E159" s="12">
        <f t="shared" si="68"/>
        <v>0</v>
      </c>
      <c r="F159" s="13" t="str">
        <f t="shared" si="57"/>
        <v>0%</v>
      </c>
      <c r="G159" s="11"/>
      <c r="H159" s="12">
        <f t="shared" si="58"/>
        <v>0</v>
      </c>
      <c r="I159" s="13">
        <v>0</v>
      </c>
      <c r="J159" s="13">
        <v>0</v>
      </c>
      <c r="K159" s="13" t="str">
        <f t="shared" si="59"/>
        <v>0%</v>
      </c>
      <c r="L159" s="11"/>
      <c r="M159" s="12">
        <f t="shared" si="60"/>
        <v>0</v>
      </c>
      <c r="N159" s="13">
        <v>0</v>
      </c>
      <c r="O159" s="13">
        <v>0</v>
      </c>
      <c r="P159" s="13" t="str">
        <f t="shared" si="61"/>
        <v>0%</v>
      </c>
      <c r="Q159" s="14"/>
      <c r="R159" s="12">
        <f t="shared" si="62"/>
        <v>0</v>
      </c>
      <c r="S159" s="13">
        <v>0</v>
      </c>
      <c r="T159" s="13">
        <v>0</v>
      </c>
      <c r="U159" s="13" t="str">
        <f t="shared" si="63"/>
        <v>0%</v>
      </c>
      <c r="V159" s="14"/>
      <c r="W159" s="12">
        <f t="shared" si="64"/>
        <v>0</v>
      </c>
      <c r="X159" s="13">
        <v>0</v>
      </c>
      <c r="Y159" s="13">
        <v>0</v>
      </c>
      <c r="Z159" s="13" t="str">
        <f t="shared" si="65"/>
        <v>0%</v>
      </c>
      <c r="AA159" s="3"/>
    </row>
    <row r="160" spans="1:27" x14ac:dyDescent="0.25">
      <c r="A160" s="12" t="s">
        <v>143</v>
      </c>
      <c r="B160" s="11"/>
      <c r="C160" s="12">
        <f t="shared" si="66"/>
        <v>0</v>
      </c>
      <c r="D160" s="12">
        <f t="shared" si="67"/>
        <v>0</v>
      </c>
      <c r="E160" s="12">
        <f t="shared" si="68"/>
        <v>0</v>
      </c>
      <c r="F160" s="13" t="str">
        <f t="shared" si="57"/>
        <v>0%</v>
      </c>
      <c r="G160" s="11"/>
      <c r="H160" s="12">
        <f t="shared" si="58"/>
        <v>0</v>
      </c>
      <c r="I160" s="13">
        <v>0</v>
      </c>
      <c r="J160" s="13">
        <v>0</v>
      </c>
      <c r="K160" s="13" t="str">
        <f t="shared" si="59"/>
        <v>0%</v>
      </c>
      <c r="L160" s="11"/>
      <c r="M160" s="12">
        <f t="shared" si="60"/>
        <v>0</v>
      </c>
      <c r="N160" s="13">
        <v>0</v>
      </c>
      <c r="O160" s="13">
        <v>0</v>
      </c>
      <c r="P160" s="13" t="str">
        <f t="shared" si="61"/>
        <v>0%</v>
      </c>
      <c r="Q160" s="14"/>
      <c r="R160" s="12">
        <f t="shared" si="62"/>
        <v>0</v>
      </c>
      <c r="S160" s="13">
        <v>0</v>
      </c>
      <c r="T160" s="13">
        <v>0</v>
      </c>
      <c r="U160" s="13" t="str">
        <f t="shared" si="63"/>
        <v>0%</v>
      </c>
      <c r="V160" s="14"/>
      <c r="W160" s="12">
        <f t="shared" si="64"/>
        <v>0</v>
      </c>
      <c r="X160" s="13">
        <v>0</v>
      </c>
      <c r="Y160" s="13">
        <v>0</v>
      </c>
      <c r="Z160" s="13" t="str">
        <f t="shared" si="65"/>
        <v>0%</v>
      </c>
      <c r="AA160" s="3"/>
    </row>
    <row r="161" spans="1:27" x14ac:dyDescent="0.25">
      <c r="A161" s="12" t="s">
        <v>153</v>
      </c>
      <c r="B161" s="11"/>
      <c r="C161" s="12">
        <f t="shared" si="66"/>
        <v>0</v>
      </c>
      <c r="D161" s="12">
        <f t="shared" si="67"/>
        <v>0</v>
      </c>
      <c r="E161" s="12">
        <f t="shared" si="68"/>
        <v>0</v>
      </c>
      <c r="F161" s="13" t="str">
        <f t="shared" si="57"/>
        <v>0%</v>
      </c>
      <c r="G161" s="11"/>
      <c r="H161" s="12">
        <f t="shared" si="58"/>
        <v>0</v>
      </c>
      <c r="I161" s="13">
        <v>0</v>
      </c>
      <c r="J161" s="13">
        <v>0</v>
      </c>
      <c r="K161" s="13" t="str">
        <f t="shared" si="59"/>
        <v>0%</v>
      </c>
      <c r="L161" s="11"/>
      <c r="M161" s="12">
        <f t="shared" si="60"/>
        <v>0</v>
      </c>
      <c r="N161" s="13">
        <v>0</v>
      </c>
      <c r="O161" s="13">
        <v>0</v>
      </c>
      <c r="P161" s="13" t="str">
        <f t="shared" si="61"/>
        <v>0%</v>
      </c>
      <c r="Q161" s="14"/>
      <c r="R161" s="12">
        <f t="shared" si="62"/>
        <v>0</v>
      </c>
      <c r="S161" s="13">
        <v>0</v>
      </c>
      <c r="T161" s="13">
        <v>0</v>
      </c>
      <c r="U161" s="13" t="str">
        <f t="shared" si="63"/>
        <v>0%</v>
      </c>
      <c r="V161" s="14"/>
      <c r="W161" s="12">
        <f t="shared" si="64"/>
        <v>0</v>
      </c>
      <c r="X161" s="13">
        <v>0</v>
      </c>
      <c r="Y161" s="13">
        <v>0</v>
      </c>
      <c r="Z161" s="13" t="str">
        <f t="shared" si="65"/>
        <v>0%</v>
      </c>
      <c r="AA161" s="3"/>
    </row>
    <row r="162" spans="1:27" x14ac:dyDescent="0.25">
      <c r="A162" s="12" t="s">
        <v>182</v>
      </c>
      <c r="B162" s="11"/>
      <c r="C162" s="13">
        <f>SUM(C142:C161)</f>
        <v>0</v>
      </c>
      <c r="D162" s="13">
        <f>SUM(D142:D161)</f>
        <v>0</v>
      </c>
      <c r="E162" s="13">
        <f>SUM(E142:E161)</f>
        <v>0</v>
      </c>
      <c r="F162" s="13" t="str">
        <f t="shared" si="57"/>
        <v>0%</v>
      </c>
      <c r="G162" s="11"/>
      <c r="H162" s="13">
        <f>SUM(H142:H161)</f>
        <v>0</v>
      </c>
      <c r="I162" s="12">
        <f>SUM(I142:I161)</f>
        <v>0</v>
      </c>
      <c r="J162" s="12">
        <v>0</v>
      </c>
      <c r="K162" s="13" t="str">
        <f t="shared" si="59"/>
        <v>0%</v>
      </c>
      <c r="L162" s="11"/>
      <c r="M162" s="13">
        <f>SUM(M142:M161)</f>
        <v>0</v>
      </c>
      <c r="N162" s="12">
        <f>SUM(N142:N161)</f>
        <v>0</v>
      </c>
      <c r="O162" s="12">
        <f>SUM(O142:O161)</f>
        <v>0</v>
      </c>
      <c r="P162" s="13" t="str">
        <f t="shared" si="61"/>
        <v>0%</v>
      </c>
      <c r="Q162" s="14"/>
      <c r="R162" s="13">
        <f>SUM(R142:R161)</f>
        <v>0</v>
      </c>
      <c r="S162" s="12">
        <f>SUM(S142:S161)</f>
        <v>0</v>
      </c>
      <c r="T162" s="12">
        <f>SUM(T142:T161)</f>
        <v>0</v>
      </c>
      <c r="U162" s="13" t="str">
        <f t="shared" si="63"/>
        <v>0%</v>
      </c>
      <c r="V162" s="14"/>
      <c r="W162" s="13">
        <f>SUM(W142:W161)</f>
        <v>0</v>
      </c>
      <c r="X162" s="12">
        <f>SUM(X142:X161)</f>
        <v>0</v>
      </c>
      <c r="Y162" s="12">
        <f>SUM(Y142:Y161)</f>
        <v>0</v>
      </c>
      <c r="Z162" s="13" t="str">
        <f t="shared" si="65"/>
        <v>0%</v>
      </c>
      <c r="AA162" s="3"/>
    </row>
    <row r="163" spans="1:27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x14ac:dyDescent="0.25">
      <c r="A165" s="9" t="s">
        <v>178</v>
      </c>
      <c r="B165" s="9" t="s">
        <v>145</v>
      </c>
      <c r="C165" s="9">
        <f>SUM(C162,C138)</f>
        <v>0</v>
      </c>
      <c r="D165" s="9">
        <f>SUM(D162,D138)</f>
        <v>0</v>
      </c>
      <c r="E165" s="9">
        <f>SUM(E162,E138)</f>
        <v>0</v>
      </c>
      <c r="F165" s="9" t="str">
        <f>IF(SUM(D138,D162),ROUND(D165*100/C165,2),0) &amp; "%"</f>
        <v>0%</v>
      </c>
      <c r="G165" s="9" t="s">
        <v>146</v>
      </c>
      <c r="H165" s="9">
        <f>SUM(H162,H138)</f>
        <v>0</v>
      </c>
      <c r="I165" s="9">
        <f>SUM(I162,I138)</f>
        <v>0</v>
      </c>
      <c r="J165" s="9">
        <f>SUM(J162,J138)</f>
        <v>0</v>
      </c>
      <c r="K165" s="9" t="str">
        <f>IF(SUM(I138,I162),ROUND(I165*100/H165,2),0) &amp; "%"</f>
        <v>0%</v>
      </c>
      <c r="L165" s="9" t="s">
        <v>146</v>
      </c>
      <c r="M165" s="9">
        <f>SUM(M162,M138)</f>
        <v>0</v>
      </c>
      <c r="N165" s="9">
        <f>SUM(N162,N138)</f>
        <v>0</v>
      </c>
      <c r="O165" s="9">
        <f>SUM(O162,O138)</f>
        <v>0</v>
      </c>
      <c r="P165" s="9" t="str">
        <f>IF(SUM(N138,N162),ROUND(N165*100/M165,2),0) &amp; "%"</f>
        <v>0%</v>
      </c>
      <c r="Q165" s="9" t="s">
        <v>146</v>
      </c>
      <c r="R165" s="9">
        <f>SUM(R162,R138)</f>
        <v>0</v>
      </c>
      <c r="S165" s="9">
        <f>SUM(S162,S138)</f>
        <v>0</v>
      </c>
      <c r="T165" s="9">
        <f>SUM(T162,T138)</f>
        <v>0</v>
      </c>
      <c r="U165" s="9" t="str">
        <f>IF(SUM(S138,S162),ROUND(S165*100/R165,2),0) &amp; "%"</f>
        <v>0%</v>
      </c>
      <c r="V165" s="9" t="s">
        <v>146</v>
      </c>
      <c r="W165" s="9">
        <f>SUM(W162,W138)</f>
        <v>0</v>
      </c>
      <c r="X165" s="9">
        <f>SUM(X162,X138)</f>
        <v>0</v>
      </c>
      <c r="Y165" s="9">
        <f>SUM(Y162,Y138)</f>
        <v>0</v>
      </c>
      <c r="Z165" s="9" t="str">
        <f>IF(SUM(X138,X162),ROUND(X165*100/W165,2),0) &amp; "%"</f>
        <v>0%</v>
      </c>
      <c r="AA165" s="3"/>
    </row>
    <row r="166" spans="1:27" x14ac:dyDescent="0.25">
      <c r="A166" s="9" t="s">
        <v>177</v>
      </c>
      <c r="B166" s="9" t="s">
        <v>148</v>
      </c>
      <c r="C166" s="9">
        <f>SUM(C165,C106)</f>
        <v>0</v>
      </c>
      <c r="D166" s="9">
        <f>SUM(D165,D106)</f>
        <v>0</v>
      </c>
      <c r="E166" s="9">
        <f>SUM(E165,E106)</f>
        <v>0</v>
      </c>
      <c r="F166" s="15" t="str">
        <f>IF(SUM(C162,C138,C103,C75),ROUND((D166/C166)*100,2),0) &amp; "%"</f>
        <v>0%</v>
      </c>
      <c r="G166" s="9" t="s">
        <v>160</v>
      </c>
      <c r="H166" s="9">
        <f>SUM(H165,H106)</f>
        <v>0</v>
      </c>
      <c r="I166" s="9">
        <f>SUM(I165,I106)</f>
        <v>0</v>
      </c>
      <c r="J166" s="9">
        <f>SUM(J165,J106)</f>
        <v>0</v>
      </c>
      <c r="K166" s="15" t="str">
        <f>IF(SUM(H162,H138,H103,H75),ROUND((I166/H166)*100,2),0) &amp; "%"</f>
        <v>0%</v>
      </c>
      <c r="L166" s="9" t="s">
        <v>160</v>
      </c>
      <c r="M166" s="9">
        <f>SUM(M165,M106)</f>
        <v>0</v>
      </c>
      <c r="N166" s="9">
        <f>SUM(N165,N106)</f>
        <v>0</v>
      </c>
      <c r="O166" s="9">
        <f>SUM(O165,O106)</f>
        <v>0</v>
      </c>
      <c r="P166" s="15" t="str">
        <f>IF(SUM(M162,M138,M103,M75),ROUND((N166/M166)*100,2),0) &amp; "%"</f>
        <v>0%</v>
      </c>
      <c r="Q166" s="9" t="s">
        <v>160</v>
      </c>
      <c r="R166" s="9">
        <f>SUM(R165,R106)</f>
        <v>0</v>
      </c>
      <c r="S166" s="9">
        <f>SUM(S165,S106)</f>
        <v>0</v>
      </c>
      <c r="T166" s="9">
        <f>SUM(T165,T106)</f>
        <v>0</v>
      </c>
      <c r="U166" s="15" t="str">
        <f>IF(SUM(R162,R138,R103,R75),ROUND((S166/R166)*100,2),0) &amp; "%"</f>
        <v>0%</v>
      </c>
      <c r="V166" s="9" t="s">
        <v>160</v>
      </c>
      <c r="W166" s="9">
        <f>SUM(W165,W106)</f>
        <v>0</v>
      </c>
      <c r="X166" s="9">
        <f>SUM(X165,X106)</f>
        <v>0</v>
      </c>
      <c r="Y166" s="9">
        <f>SUM(Y165,Y106)</f>
        <v>0</v>
      </c>
      <c r="Z166" s="15" t="str">
        <f>IF(SUM(W162,W138,W103,W75),ROUND((X166/W166)*100,2),0) &amp; "%"</f>
        <v>0%</v>
      </c>
      <c r="AA166" s="3"/>
    </row>
    <row r="167" spans="1:27" x14ac:dyDescent="0.25">
      <c r="A167" s="9" t="s">
        <v>149</v>
      </c>
      <c r="B167" s="10"/>
      <c r="C167" s="9" t="s">
        <v>149</v>
      </c>
      <c r="D167" s="9"/>
      <c r="E167" s="9"/>
      <c r="F167" s="9">
        <f>+SUM(C162,C138,C103,C75)</f>
        <v>0</v>
      </c>
      <c r="G167" s="10"/>
      <c r="H167" s="9" t="s">
        <v>149</v>
      </c>
      <c r="I167" s="9"/>
      <c r="J167" s="9"/>
      <c r="K167" s="9">
        <f>+SUM(H162,H138,H103,H75)</f>
        <v>0</v>
      </c>
      <c r="L167" s="10"/>
      <c r="M167" s="9" t="s">
        <v>149</v>
      </c>
      <c r="N167" s="9"/>
      <c r="O167" s="9"/>
      <c r="P167" s="9">
        <f>+SUM(M162,M138,M103,M75)</f>
        <v>0</v>
      </c>
      <c r="Q167" s="10"/>
      <c r="R167" s="9" t="s">
        <v>149</v>
      </c>
      <c r="S167" s="9"/>
      <c r="T167" s="9"/>
      <c r="U167" s="9">
        <f>+SUM(R162,R138,R103,R75)</f>
        <v>0</v>
      </c>
      <c r="V167" s="10"/>
      <c r="W167" s="9" t="s">
        <v>149</v>
      </c>
      <c r="X167" s="9"/>
      <c r="Y167" s="9"/>
      <c r="Z167" s="9">
        <f>+SUM(W162,W138,W103,W75)</f>
        <v>0</v>
      </c>
      <c r="AA167" s="3"/>
    </row>
    <row r="168" spans="1:27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x14ac:dyDescent="0.25">
      <c r="A170" s="3" t="s">
        <v>172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x14ac:dyDescent="0.25">
      <c r="A171" s="19" t="str">
        <f>I1</f>
        <v>Template</v>
      </c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3"/>
    </row>
    <row r="172" spans="1:27" x14ac:dyDescent="0.25">
      <c r="A172" s="21" t="s">
        <v>163</v>
      </c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0">
        <f>SUM(N172,O172)</f>
        <v>0</v>
      </c>
      <c r="N172" s="20">
        <v>0</v>
      </c>
      <c r="O172" s="20">
        <v>0</v>
      </c>
      <c r="P172" s="20" t="str">
        <f>IF(M172,ROUND(N172/M172*100,2),0) &amp; "%"</f>
        <v>0%</v>
      </c>
      <c r="Q172" s="22"/>
      <c r="R172" s="20">
        <f>SUM(S172,T172)</f>
        <v>0</v>
      </c>
      <c r="S172" s="20">
        <v>0</v>
      </c>
      <c r="T172" s="20">
        <v>0</v>
      </c>
      <c r="U172" s="20" t="str">
        <f>IF(R172,ROUND(S172/R172*100,2),0) &amp; "%"</f>
        <v>0%</v>
      </c>
      <c r="V172" s="22"/>
      <c r="W172" s="20">
        <f>SUM(X172,Y172)</f>
        <v>0</v>
      </c>
      <c r="X172" s="20">
        <v>0</v>
      </c>
      <c r="Y172" s="20">
        <v>0</v>
      </c>
      <c r="Z172" s="20" t="str">
        <f>IF(W172,ROUND(X172/W172*100,2),0) &amp; "%"</f>
        <v>0%</v>
      </c>
      <c r="AA172" s="3"/>
    </row>
    <row r="173" spans="1:27" x14ac:dyDescent="0.25">
      <c r="A173" s="21" t="s">
        <v>162</v>
      </c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0">
        <f t="shared" ref="M173:M176" si="69">SUM(N173,O173)</f>
        <v>0</v>
      </c>
      <c r="N173" s="20">
        <v>0</v>
      </c>
      <c r="O173" s="20">
        <v>0</v>
      </c>
      <c r="P173" s="20" t="str">
        <f t="shared" ref="P173:P177" si="70">IF(M173,ROUND(N173/M173*100,2),0) &amp; "%"</f>
        <v>0%</v>
      </c>
      <c r="Q173" s="22"/>
      <c r="R173" s="20">
        <f t="shared" ref="R173:R176" si="71">SUM(S173,T173)</f>
        <v>0</v>
      </c>
      <c r="S173" s="20">
        <v>0</v>
      </c>
      <c r="T173" s="20">
        <v>0</v>
      </c>
      <c r="U173" s="20" t="str">
        <f t="shared" ref="U173:U177" si="72">IF(R173,ROUND(S173/R173*100,2),0) &amp; "%"</f>
        <v>0%</v>
      </c>
      <c r="V173" s="22"/>
      <c r="W173" s="20">
        <f t="shared" ref="W173:W176" si="73">SUM(X173,Y173)</f>
        <v>0</v>
      </c>
      <c r="X173" s="20">
        <v>0</v>
      </c>
      <c r="Y173" s="20">
        <v>0</v>
      </c>
      <c r="Z173" s="20" t="str">
        <f t="shared" ref="Z173:Z177" si="74">IF(W173,ROUND(X173/W173*100,2),0) &amp; "%"</f>
        <v>0%</v>
      </c>
      <c r="AA173" s="3"/>
    </row>
    <row r="174" spans="1:27" x14ac:dyDescent="0.25">
      <c r="A174" s="21" t="s">
        <v>164</v>
      </c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0">
        <f t="shared" si="69"/>
        <v>0</v>
      </c>
      <c r="N174" s="20">
        <v>0</v>
      </c>
      <c r="O174" s="20">
        <v>0</v>
      </c>
      <c r="P174" s="20" t="str">
        <f t="shared" si="70"/>
        <v>0%</v>
      </c>
      <c r="Q174" s="22"/>
      <c r="R174" s="20">
        <f t="shared" si="71"/>
        <v>0</v>
      </c>
      <c r="S174" s="20">
        <v>0</v>
      </c>
      <c r="T174" s="20">
        <v>0</v>
      </c>
      <c r="U174" s="20" t="str">
        <f t="shared" si="72"/>
        <v>0%</v>
      </c>
      <c r="V174" s="22"/>
      <c r="W174" s="20">
        <f t="shared" si="73"/>
        <v>0</v>
      </c>
      <c r="X174" s="20">
        <v>0</v>
      </c>
      <c r="Y174" s="20">
        <v>0</v>
      </c>
      <c r="Z174" s="20" t="str">
        <f t="shared" si="74"/>
        <v>0%</v>
      </c>
      <c r="AA174" s="3"/>
    </row>
    <row r="175" spans="1:27" x14ac:dyDescent="0.25">
      <c r="A175" s="21" t="s">
        <v>165</v>
      </c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0">
        <f t="shared" si="69"/>
        <v>0</v>
      </c>
      <c r="N175" s="20">
        <v>0</v>
      </c>
      <c r="O175" s="20">
        <v>0</v>
      </c>
      <c r="P175" s="20" t="str">
        <f t="shared" si="70"/>
        <v>0%</v>
      </c>
      <c r="Q175" s="22"/>
      <c r="R175" s="20">
        <f t="shared" si="71"/>
        <v>0</v>
      </c>
      <c r="S175" s="20">
        <v>0</v>
      </c>
      <c r="T175" s="20">
        <v>0</v>
      </c>
      <c r="U175" s="20" t="str">
        <f t="shared" si="72"/>
        <v>0%</v>
      </c>
      <c r="V175" s="22"/>
      <c r="W175" s="20">
        <f t="shared" si="73"/>
        <v>0</v>
      </c>
      <c r="X175" s="20">
        <v>0</v>
      </c>
      <c r="Y175" s="20">
        <v>0</v>
      </c>
      <c r="Z175" s="20" t="str">
        <f t="shared" si="74"/>
        <v>0%</v>
      </c>
      <c r="AA175" s="3"/>
    </row>
    <row r="176" spans="1:27" x14ac:dyDescent="0.25">
      <c r="A176" s="21" t="s">
        <v>161</v>
      </c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0">
        <f t="shared" si="69"/>
        <v>0</v>
      </c>
      <c r="N176" s="20">
        <v>0</v>
      </c>
      <c r="O176" s="20">
        <v>0</v>
      </c>
      <c r="P176" s="20" t="str">
        <f t="shared" si="70"/>
        <v>0%</v>
      </c>
      <c r="Q176" s="22"/>
      <c r="R176" s="20">
        <f t="shared" si="71"/>
        <v>0</v>
      </c>
      <c r="S176" s="20">
        <v>0</v>
      </c>
      <c r="T176" s="20">
        <v>0</v>
      </c>
      <c r="U176" s="20" t="str">
        <f t="shared" si="72"/>
        <v>0%</v>
      </c>
      <c r="V176" s="22"/>
      <c r="W176" s="20">
        <f t="shared" si="73"/>
        <v>0</v>
      </c>
      <c r="X176" s="20">
        <v>0</v>
      </c>
      <c r="Y176" s="20">
        <v>0</v>
      </c>
      <c r="Z176" s="20" t="str">
        <f t="shared" si="74"/>
        <v>0%</v>
      </c>
      <c r="AA176" s="3"/>
    </row>
    <row r="177" spans="1:27" x14ac:dyDescent="0.25">
      <c r="A177" s="21" t="s">
        <v>168</v>
      </c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0">
        <f>SUM(M176,M175,M174,M173,M172)</f>
        <v>0</v>
      </c>
      <c r="N177" s="20">
        <f>SUM(N176,N175,N174,N173,N172)</f>
        <v>0</v>
      </c>
      <c r="O177" s="20">
        <f>SUM(O176,O175,O174,O173,O172)</f>
        <v>0</v>
      </c>
      <c r="P177" s="20" t="str">
        <f t="shared" si="70"/>
        <v>0%</v>
      </c>
      <c r="Q177" s="22"/>
      <c r="R177" s="20">
        <f>SUM(R176,R175,R174,R173,R172)</f>
        <v>0</v>
      </c>
      <c r="S177" s="20">
        <f>SUM(S176,S175,S174,S173,S172)</f>
        <v>0</v>
      </c>
      <c r="T177" s="20">
        <f>SUM(T176,T175,T174,T173,T172)</f>
        <v>0</v>
      </c>
      <c r="U177" s="20" t="str">
        <f t="shared" si="72"/>
        <v>0%</v>
      </c>
      <c r="V177" s="22"/>
      <c r="W177" s="20">
        <f>SUM(W176,W175,W174,W173,W172)</f>
        <v>0</v>
      </c>
      <c r="X177" s="20">
        <f>SUM(X176,X175,X174,X173,X172)</f>
        <v>0</v>
      </c>
      <c r="Y177" s="20">
        <f>SUM(Y176,Y175,Y174,Y173,Y172)</f>
        <v>0</v>
      </c>
      <c r="Z177" s="20" t="str">
        <f t="shared" si="74"/>
        <v>0%</v>
      </c>
      <c r="AA177" s="3"/>
    </row>
    <row r="178" spans="1:27" x14ac:dyDescent="0.25">
      <c r="A178" s="21" t="s">
        <v>166</v>
      </c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0" t="str">
        <f>(P175-P165)*100 &amp; "%"</f>
        <v>0%</v>
      </c>
      <c r="Q178" s="22"/>
      <c r="R178" s="22"/>
      <c r="S178" s="22"/>
      <c r="T178" s="22"/>
      <c r="U178" s="20" t="str">
        <f>(U175-U165)*100 &amp; "%"</f>
        <v>0%</v>
      </c>
      <c r="V178" s="22"/>
      <c r="W178" s="22"/>
      <c r="X178" s="22"/>
      <c r="Y178" s="22"/>
      <c r="Z178" s="20" t="str">
        <f>(Z175-Z165)*100 &amp; "%"</f>
        <v>0%</v>
      </c>
      <c r="AA178" s="3"/>
    </row>
    <row r="179" spans="1:27" x14ac:dyDescent="0.25">
      <c r="A179" s="21" t="s">
        <v>167</v>
      </c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0" t="str">
        <f>(P176-P106)*100 &amp; "%"</f>
        <v>0%</v>
      </c>
      <c r="Q179" s="22"/>
      <c r="R179" s="22"/>
      <c r="S179" s="22"/>
      <c r="T179" s="22"/>
      <c r="U179" s="20" t="str">
        <f>(U176-U106)*100 &amp; "%"</f>
        <v>0%</v>
      </c>
      <c r="V179" s="22"/>
      <c r="W179" s="22"/>
      <c r="X179" s="22"/>
      <c r="Y179" s="22"/>
      <c r="Z179" s="20" t="str">
        <f>(Z176-Z106)*100 &amp; "%"</f>
        <v>0%</v>
      </c>
      <c r="AA179" s="3"/>
    </row>
    <row r="180" spans="1:27" x14ac:dyDescent="0.25">
      <c r="A180" s="21" t="s">
        <v>169</v>
      </c>
      <c r="B180" s="22"/>
      <c r="C180" s="22"/>
      <c r="D180" s="22"/>
      <c r="E180" s="22"/>
      <c r="F180" s="24"/>
      <c r="G180" s="22"/>
      <c r="H180" s="22"/>
      <c r="I180" s="22"/>
      <c r="J180" s="22"/>
      <c r="K180" s="24"/>
      <c r="L180" s="22"/>
      <c r="M180" s="22"/>
      <c r="N180" s="22"/>
      <c r="O180" s="22"/>
      <c r="P180" s="23">
        <f>P177-P166</f>
        <v>0</v>
      </c>
      <c r="Q180" s="22"/>
      <c r="R180" s="22"/>
      <c r="S180" s="22"/>
      <c r="T180" s="22"/>
      <c r="U180" s="23">
        <f>U177-U166</f>
        <v>0</v>
      </c>
      <c r="V180" s="22"/>
      <c r="W180" s="22"/>
      <c r="X180" s="22"/>
      <c r="Y180" s="22"/>
      <c r="Z180" s="23">
        <f>Z177-Z166</f>
        <v>0</v>
      </c>
      <c r="AA180" s="3"/>
    </row>
    <row r="181" spans="1:27" x14ac:dyDescent="0.25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3"/>
    </row>
    <row r="182" spans="1:27" x14ac:dyDescent="0.25">
      <c r="A182" s="19" t="str">
        <f>N1</f>
        <v>Template</v>
      </c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3"/>
    </row>
    <row r="183" spans="1:27" x14ac:dyDescent="0.25">
      <c r="A183" s="21" t="s">
        <v>163</v>
      </c>
      <c r="B183" s="22"/>
      <c r="C183" s="22"/>
      <c r="D183" s="22"/>
      <c r="E183" s="22"/>
      <c r="F183" s="22"/>
      <c r="G183" s="22"/>
      <c r="H183" s="20">
        <f>SUM(I183,J183)</f>
        <v>0</v>
      </c>
      <c r="I183" s="20">
        <v>0</v>
      </c>
      <c r="J183" s="20">
        <v>0</v>
      </c>
      <c r="K183" s="20" t="str">
        <f>IF(H183,ROUND(I183/H183*100,2),0) &amp; "%"</f>
        <v>0%</v>
      </c>
      <c r="L183" s="22"/>
      <c r="M183" s="22"/>
      <c r="N183" s="22"/>
      <c r="O183" s="22"/>
      <c r="P183" s="22"/>
      <c r="Q183" s="22"/>
      <c r="R183" s="20">
        <f>SUM(S183,T183)</f>
        <v>0</v>
      </c>
      <c r="S183" s="20">
        <v>0</v>
      </c>
      <c r="T183" s="20">
        <v>0</v>
      </c>
      <c r="U183" s="20" t="str">
        <f>IF(R183,ROUND(S183/R183*100,2),0) &amp; "%"</f>
        <v>0%</v>
      </c>
      <c r="V183" s="22"/>
      <c r="W183" s="20">
        <f>SUM(X183,Y183)</f>
        <v>0</v>
      </c>
      <c r="X183" s="20">
        <v>0</v>
      </c>
      <c r="Y183" s="20">
        <v>0</v>
      </c>
      <c r="Z183" s="20" t="str">
        <f>IF(W183,ROUND(X183/W183*100,2),0) &amp; "%"</f>
        <v>0%</v>
      </c>
      <c r="AA183" s="3"/>
    </row>
    <row r="184" spans="1:27" x14ac:dyDescent="0.25">
      <c r="A184" s="21" t="s">
        <v>162</v>
      </c>
      <c r="B184" s="22"/>
      <c r="C184" s="22"/>
      <c r="D184" s="22"/>
      <c r="E184" s="22"/>
      <c r="F184" s="22"/>
      <c r="G184" s="22"/>
      <c r="H184" s="20">
        <f t="shared" ref="H184:H187" si="75">SUM(I184,J184)</f>
        <v>0</v>
      </c>
      <c r="I184" s="20">
        <v>0</v>
      </c>
      <c r="J184" s="20">
        <v>0</v>
      </c>
      <c r="K184" s="20" t="str">
        <f t="shared" ref="K184:K188" si="76">IF(H184,ROUND(I184/H184*100,2),0) &amp; "%"</f>
        <v>0%</v>
      </c>
      <c r="L184" s="22"/>
      <c r="M184" s="22"/>
      <c r="N184" s="22"/>
      <c r="O184" s="22"/>
      <c r="P184" s="22"/>
      <c r="Q184" s="22"/>
      <c r="R184" s="20">
        <f t="shared" ref="R184:R187" si="77">SUM(S184,T184)</f>
        <v>0</v>
      </c>
      <c r="S184" s="20">
        <v>0</v>
      </c>
      <c r="T184" s="20">
        <v>0</v>
      </c>
      <c r="U184" s="20" t="str">
        <f t="shared" ref="U184:U188" si="78">IF(R184,ROUND(S184/R184*100,2),0) &amp; "%"</f>
        <v>0%</v>
      </c>
      <c r="V184" s="22"/>
      <c r="W184" s="20">
        <f t="shared" ref="W184:W187" si="79">SUM(X184,Y184)</f>
        <v>0</v>
      </c>
      <c r="X184" s="20">
        <v>0</v>
      </c>
      <c r="Y184" s="20">
        <v>0</v>
      </c>
      <c r="Z184" s="20" t="str">
        <f t="shared" ref="Z184:Z188" si="80">IF(W184,ROUND(X184/W184*100,2),0) &amp; "%"</f>
        <v>0%</v>
      </c>
      <c r="AA184" s="3"/>
    </row>
    <row r="185" spans="1:27" x14ac:dyDescent="0.25">
      <c r="A185" s="21" t="s">
        <v>164</v>
      </c>
      <c r="B185" s="22"/>
      <c r="C185" s="22"/>
      <c r="D185" s="22"/>
      <c r="E185" s="22"/>
      <c r="F185" s="22"/>
      <c r="G185" s="22"/>
      <c r="H185" s="20">
        <f t="shared" si="75"/>
        <v>0</v>
      </c>
      <c r="I185" s="20">
        <v>0</v>
      </c>
      <c r="J185" s="20">
        <v>0</v>
      </c>
      <c r="K185" s="20" t="str">
        <f t="shared" si="76"/>
        <v>0%</v>
      </c>
      <c r="L185" s="22"/>
      <c r="M185" s="22"/>
      <c r="N185" s="22"/>
      <c r="O185" s="22"/>
      <c r="P185" s="22"/>
      <c r="Q185" s="22"/>
      <c r="R185" s="20">
        <f t="shared" si="77"/>
        <v>0</v>
      </c>
      <c r="S185" s="20">
        <v>0</v>
      </c>
      <c r="T185" s="20">
        <v>0</v>
      </c>
      <c r="U185" s="20" t="str">
        <f t="shared" si="78"/>
        <v>0%</v>
      </c>
      <c r="V185" s="22"/>
      <c r="W185" s="20">
        <f t="shared" si="79"/>
        <v>0</v>
      </c>
      <c r="X185" s="20">
        <v>0</v>
      </c>
      <c r="Y185" s="20">
        <v>0</v>
      </c>
      <c r="Z185" s="20" t="str">
        <f t="shared" si="80"/>
        <v>0%</v>
      </c>
      <c r="AA185" s="3"/>
    </row>
    <row r="186" spans="1:27" x14ac:dyDescent="0.25">
      <c r="A186" s="21" t="s">
        <v>165</v>
      </c>
      <c r="B186" s="22"/>
      <c r="C186" s="22"/>
      <c r="D186" s="22"/>
      <c r="E186" s="22"/>
      <c r="F186" s="22"/>
      <c r="G186" s="22"/>
      <c r="H186" s="20">
        <f t="shared" si="75"/>
        <v>0</v>
      </c>
      <c r="I186" s="20">
        <v>0</v>
      </c>
      <c r="J186" s="20">
        <v>0</v>
      </c>
      <c r="K186" s="20" t="str">
        <f t="shared" si="76"/>
        <v>0%</v>
      </c>
      <c r="L186" s="22"/>
      <c r="M186" s="22"/>
      <c r="N186" s="22"/>
      <c r="O186" s="22"/>
      <c r="P186" s="22"/>
      <c r="Q186" s="22"/>
      <c r="R186" s="20">
        <f t="shared" si="77"/>
        <v>0</v>
      </c>
      <c r="S186" s="20">
        <v>0</v>
      </c>
      <c r="T186" s="20">
        <v>0</v>
      </c>
      <c r="U186" s="20" t="str">
        <f t="shared" si="78"/>
        <v>0%</v>
      </c>
      <c r="V186" s="22"/>
      <c r="W186" s="20">
        <f t="shared" si="79"/>
        <v>0</v>
      </c>
      <c r="X186" s="20">
        <v>0</v>
      </c>
      <c r="Y186" s="20">
        <v>0</v>
      </c>
      <c r="Z186" s="20" t="str">
        <f t="shared" si="80"/>
        <v>0%</v>
      </c>
      <c r="AA186" s="3"/>
    </row>
    <row r="187" spans="1:27" x14ac:dyDescent="0.25">
      <c r="A187" s="21" t="s">
        <v>161</v>
      </c>
      <c r="B187" s="22"/>
      <c r="C187" s="22"/>
      <c r="D187" s="22"/>
      <c r="E187" s="22"/>
      <c r="F187" s="22"/>
      <c r="G187" s="22"/>
      <c r="H187" s="20">
        <f t="shared" si="75"/>
        <v>0</v>
      </c>
      <c r="I187" s="20">
        <v>0</v>
      </c>
      <c r="J187" s="20">
        <v>0</v>
      </c>
      <c r="K187" s="20" t="str">
        <f t="shared" si="76"/>
        <v>0%</v>
      </c>
      <c r="L187" s="22"/>
      <c r="M187" s="22"/>
      <c r="N187" s="22"/>
      <c r="O187" s="22"/>
      <c r="P187" s="22"/>
      <c r="Q187" s="22"/>
      <c r="R187" s="20">
        <f t="shared" si="77"/>
        <v>0</v>
      </c>
      <c r="S187" s="20">
        <v>0</v>
      </c>
      <c r="T187" s="20">
        <v>0</v>
      </c>
      <c r="U187" s="20" t="str">
        <f t="shared" si="78"/>
        <v>0%</v>
      </c>
      <c r="V187" s="22"/>
      <c r="W187" s="20">
        <f t="shared" si="79"/>
        <v>0</v>
      </c>
      <c r="X187" s="20">
        <v>0</v>
      </c>
      <c r="Y187" s="20">
        <v>0</v>
      </c>
      <c r="Z187" s="20" t="str">
        <f t="shared" si="80"/>
        <v>0%</v>
      </c>
      <c r="AA187" s="3"/>
    </row>
    <row r="188" spans="1:27" x14ac:dyDescent="0.25">
      <c r="A188" s="21" t="s">
        <v>168</v>
      </c>
      <c r="B188" s="22"/>
      <c r="C188" s="22"/>
      <c r="D188" s="22"/>
      <c r="E188" s="22"/>
      <c r="F188" s="22"/>
      <c r="G188" s="22"/>
      <c r="H188" s="20">
        <f>SUM(H187,H186,H185,H184,H183)</f>
        <v>0</v>
      </c>
      <c r="I188" s="20">
        <f>SUM(I187,I186,I185,I184,I183)</f>
        <v>0</v>
      </c>
      <c r="J188" s="20">
        <f>SUM(J187,J186,J185,J184,J183)</f>
        <v>0</v>
      </c>
      <c r="K188" s="20" t="str">
        <f t="shared" si="76"/>
        <v>0%</v>
      </c>
      <c r="L188" s="22"/>
      <c r="M188" s="22"/>
      <c r="N188" s="22"/>
      <c r="O188" s="22"/>
      <c r="P188" s="22"/>
      <c r="Q188" s="22"/>
      <c r="R188" s="20">
        <f>SUM(R187,R186,R185,R184,R183)</f>
        <v>0</v>
      </c>
      <c r="S188" s="20">
        <f>SUM(S187,S186,S185,S184,S183)</f>
        <v>0</v>
      </c>
      <c r="T188" s="20">
        <f>SUM(T187,T186,T185,T184,T183)</f>
        <v>0</v>
      </c>
      <c r="U188" s="20" t="str">
        <f t="shared" si="78"/>
        <v>0%</v>
      </c>
      <c r="V188" s="22"/>
      <c r="W188" s="20">
        <f>SUM(W187,W186,W185,W184,W183)</f>
        <v>0</v>
      </c>
      <c r="X188" s="20">
        <f>SUM(X187,X186,X185,X184,X183)</f>
        <v>0</v>
      </c>
      <c r="Y188" s="20">
        <f>SUM(Y187,Y186,Y185,Y184,Y183)</f>
        <v>0</v>
      </c>
      <c r="Z188" s="20" t="str">
        <f t="shared" si="80"/>
        <v>0%</v>
      </c>
      <c r="AA188" s="3"/>
    </row>
    <row r="189" spans="1:27" x14ac:dyDescent="0.25">
      <c r="A189" s="21" t="s">
        <v>166</v>
      </c>
      <c r="B189" s="22"/>
      <c r="C189" s="22"/>
      <c r="D189" s="22"/>
      <c r="E189" s="22"/>
      <c r="F189" s="22"/>
      <c r="G189" s="22"/>
      <c r="H189" s="22"/>
      <c r="I189" s="22"/>
      <c r="J189" s="22"/>
      <c r="K189" s="20" t="str">
        <f>(K186-K165)*100 &amp; "%"</f>
        <v>0%</v>
      </c>
      <c r="L189" s="22"/>
      <c r="M189" s="22"/>
      <c r="N189" s="22"/>
      <c r="O189" s="22"/>
      <c r="P189" s="22"/>
      <c r="Q189" s="22"/>
      <c r="R189" s="22"/>
      <c r="S189" s="22"/>
      <c r="T189" s="22"/>
      <c r="U189" s="20" t="str">
        <f>(U186-U165)*100 &amp; "%"</f>
        <v>0%</v>
      </c>
      <c r="V189" s="22"/>
      <c r="W189" s="22"/>
      <c r="X189" s="22"/>
      <c r="Y189" s="22"/>
      <c r="Z189" s="20" t="str">
        <f>(Z186-Z165)*100 &amp; "%"</f>
        <v>0%</v>
      </c>
      <c r="AA189" s="3"/>
    </row>
    <row r="190" spans="1:27" x14ac:dyDescent="0.25">
      <c r="A190" s="21" t="s">
        <v>167</v>
      </c>
      <c r="B190" s="22"/>
      <c r="C190" s="22"/>
      <c r="D190" s="22"/>
      <c r="E190" s="22"/>
      <c r="F190" s="22"/>
      <c r="G190" s="22"/>
      <c r="H190" s="22"/>
      <c r="I190" s="22"/>
      <c r="J190" s="22"/>
      <c r="K190" s="20" t="str">
        <f>(K187-K106)*100 &amp; "%"</f>
        <v>0%</v>
      </c>
      <c r="L190" s="22"/>
      <c r="M190" s="22"/>
      <c r="N190" s="22"/>
      <c r="O190" s="22"/>
      <c r="P190" s="22"/>
      <c r="Q190" s="22"/>
      <c r="R190" s="22"/>
      <c r="S190" s="22"/>
      <c r="T190" s="22"/>
      <c r="U190" s="20" t="str">
        <f>(U187-U106)*100 &amp; "%"</f>
        <v>0%</v>
      </c>
      <c r="V190" s="22"/>
      <c r="W190" s="22"/>
      <c r="X190" s="22"/>
      <c r="Y190" s="22"/>
      <c r="Z190" s="20" t="str">
        <f>(Z187-Z106)*100 &amp; "%"</f>
        <v>0%</v>
      </c>
      <c r="AA190" s="3"/>
    </row>
    <row r="191" spans="1:27" x14ac:dyDescent="0.25">
      <c r="A191" s="21" t="s">
        <v>169</v>
      </c>
      <c r="B191" s="22"/>
      <c r="C191" s="22"/>
      <c r="D191" s="22"/>
      <c r="E191" s="22"/>
      <c r="F191" s="24"/>
      <c r="G191" s="22"/>
      <c r="H191" s="22"/>
      <c r="I191" s="22"/>
      <c r="J191" s="22"/>
      <c r="K191" s="23">
        <f>K188-K166</f>
        <v>0</v>
      </c>
      <c r="L191" s="22"/>
      <c r="M191" s="22"/>
      <c r="N191" s="22"/>
      <c r="O191" s="22"/>
      <c r="P191" s="24"/>
      <c r="Q191" s="22"/>
      <c r="R191" s="22"/>
      <c r="S191" s="22"/>
      <c r="T191" s="22"/>
      <c r="U191" s="23">
        <f>U188-U166</f>
        <v>0</v>
      </c>
      <c r="V191" s="22"/>
      <c r="W191" s="22"/>
      <c r="X191" s="22"/>
      <c r="Y191" s="22"/>
      <c r="Z191" s="23">
        <f>Z188-Z166</f>
        <v>0</v>
      </c>
      <c r="AA191" s="3"/>
    </row>
    <row r="192" spans="1:27" x14ac:dyDescent="0.25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3"/>
    </row>
    <row r="193" spans="1:27" x14ac:dyDescent="0.25">
      <c r="A193" s="19" t="e">
        <f>#REF!</f>
        <v>#REF!</v>
      </c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3"/>
    </row>
    <row r="194" spans="1:27" x14ac:dyDescent="0.25">
      <c r="A194" s="21" t="s">
        <v>163</v>
      </c>
      <c r="B194" s="22"/>
      <c r="C194" s="22"/>
      <c r="D194" s="22"/>
      <c r="E194" s="22"/>
      <c r="F194" s="22"/>
      <c r="G194" s="22"/>
      <c r="H194" s="20">
        <f>SUM(I194,J194)</f>
        <v>0</v>
      </c>
      <c r="I194" s="20">
        <v>0</v>
      </c>
      <c r="J194" s="20">
        <v>0</v>
      </c>
      <c r="K194" s="20" t="str">
        <f>IF(H194,ROUND(I194/H194*100,2),0) &amp; "%"</f>
        <v>0%</v>
      </c>
      <c r="L194" s="22"/>
      <c r="M194" s="20">
        <f>SUM(N194,O194)</f>
        <v>0</v>
      </c>
      <c r="N194" s="20">
        <v>0</v>
      </c>
      <c r="O194" s="20">
        <v>0</v>
      </c>
      <c r="P194" s="20" t="str">
        <f>IF(M194,ROUND(N194/M194*100,2),0) &amp; "%"</f>
        <v>0%</v>
      </c>
      <c r="Q194" s="22"/>
      <c r="R194" s="22"/>
      <c r="S194" s="22"/>
      <c r="T194" s="22"/>
      <c r="U194" s="22"/>
      <c r="V194" s="22"/>
      <c r="W194" s="20">
        <f>SUM(X194,Y194)</f>
        <v>0</v>
      </c>
      <c r="X194" s="20">
        <v>0</v>
      </c>
      <c r="Y194" s="20">
        <v>0</v>
      </c>
      <c r="Z194" s="20" t="str">
        <f>IF(W194,ROUND(X194/W194*100,2),0) &amp; "%"</f>
        <v>0%</v>
      </c>
      <c r="AA194" s="3"/>
    </row>
    <row r="195" spans="1:27" x14ac:dyDescent="0.25">
      <c r="A195" s="21" t="s">
        <v>162</v>
      </c>
      <c r="B195" s="22"/>
      <c r="C195" s="22"/>
      <c r="D195" s="22"/>
      <c r="E195" s="22"/>
      <c r="F195" s="22"/>
      <c r="G195" s="22"/>
      <c r="H195" s="20">
        <f t="shared" ref="H195:H198" si="81">SUM(I195,J195)</f>
        <v>0</v>
      </c>
      <c r="I195" s="20">
        <v>0</v>
      </c>
      <c r="J195" s="20">
        <v>0</v>
      </c>
      <c r="K195" s="20" t="str">
        <f t="shared" ref="K195:K199" si="82">IF(H195,ROUND(I195/H195*100,2),0) &amp; "%"</f>
        <v>0%</v>
      </c>
      <c r="L195" s="22"/>
      <c r="M195" s="20">
        <f t="shared" ref="M195:M198" si="83">SUM(N195,O195)</f>
        <v>0</v>
      </c>
      <c r="N195" s="20">
        <v>0</v>
      </c>
      <c r="O195" s="20">
        <v>0</v>
      </c>
      <c r="P195" s="20" t="str">
        <f t="shared" ref="P195:P199" si="84">IF(M195,ROUND(N195/M195*100,2),0) &amp; "%"</f>
        <v>0%</v>
      </c>
      <c r="Q195" s="22"/>
      <c r="R195" s="22"/>
      <c r="S195" s="22"/>
      <c r="T195" s="22"/>
      <c r="U195" s="22"/>
      <c r="V195" s="22"/>
      <c r="W195" s="20">
        <f t="shared" ref="W195:W198" si="85">SUM(X195,Y195)</f>
        <v>0</v>
      </c>
      <c r="X195" s="20">
        <v>0</v>
      </c>
      <c r="Y195" s="20">
        <v>0</v>
      </c>
      <c r="Z195" s="20" t="str">
        <f t="shared" ref="Z195:Z199" si="86">IF(W195,ROUND(X195/W195*100,2),0) &amp; "%"</f>
        <v>0%</v>
      </c>
      <c r="AA195" s="3"/>
    </row>
    <row r="196" spans="1:27" x14ac:dyDescent="0.25">
      <c r="A196" s="21" t="s">
        <v>164</v>
      </c>
      <c r="B196" s="22"/>
      <c r="C196" s="22"/>
      <c r="D196" s="22"/>
      <c r="E196" s="22"/>
      <c r="F196" s="22"/>
      <c r="G196" s="22"/>
      <c r="H196" s="20">
        <f t="shared" si="81"/>
        <v>0</v>
      </c>
      <c r="I196" s="20">
        <v>0</v>
      </c>
      <c r="J196" s="20">
        <v>0</v>
      </c>
      <c r="K196" s="20" t="str">
        <f t="shared" si="82"/>
        <v>0%</v>
      </c>
      <c r="L196" s="22"/>
      <c r="M196" s="20">
        <f t="shared" si="83"/>
        <v>0</v>
      </c>
      <c r="N196" s="20">
        <v>0</v>
      </c>
      <c r="O196" s="20">
        <v>0</v>
      </c>
      <c r="P196" s="20" t="str">
        <f t="shared" si="84"/>
        <v>0%</v>
      </c>
      <c r="Q196" s="22"/>
      <c r="R196" s="22"/>
      <c r="S196" s="22"/>
      <c r="T196" s="22"/>
      <c r="U196" s="22"/>
      <c r="V196" s="22"/>
      <c r="W196" s="20">
        <f t="shared" si="85"/>
        <v>0</v>
      </c>
      <c r="X196" s="20">
        <v>0</v>
      </c>
      <c r="Y196" s="20">
        <v>0</v>
      </c>
      <c r="Z196" s="20" t="str">
        <f t="shared" si="86"/>
        <v>0%</v>
      </c>
      <c r="AA196" s="3"/>
    </row>
    <row r="197" spans="1:27" x14ac:dyDescent="0.25">
      <c r="A197" s="21" t="s">
        <v>165</v>
      </c>
      <c r="B197" s="22"/>
      <c r="C197" s="22"/>
      <c r="D197" s="22"/>
      <c r="E197" s="22"/>
      <c r="F197" s="22"/>
      <c r="G197" s="22"/>
      <c r="H197" s="20">
        <f t="shared" si="81"/>
        <v>0</v>
      </c>
      <c r="I197" s="20">
        <v>0</v>
      </c>
      <c r="J197" s="20">
        <v>0</v>
      </c>
      <c r="K197" s="20" t="str">
        <f t="shared" si="82"/>
        <v>0%</v>
      </c>
      <c r="L197" s="22"/>
      <c r="M197" s="20">
        <f t="shared" si="83"/>
        <v>0</v>
      </c>
      <c r="N197" s="20">
        <v>0</v>
      </c>
      <c r="O197" s="20">
        <v>0</v>
      </c>
      <c r="P197" s="20" t="str">
        <f t="shared" si="84"/>
        <v>0%</v>
      </c>
      <c r="Q197" s="22"/>
      <c r="R197" s="22"/>
      <c r="S197" s="22"/>
      <c r="T197" s="22"/>
      <c r="U197" s="22"/>
      <c r="V197" s="22"/>
      <c r="W197" s="20">
        <f t="shared" si="85"/>
        <v>0</v>
      </c>
      <c r="X197" s="20">
        <v>0</v>
      </c>
      <c r="Y197" s="20">
        <v>0</v>
      </c>
      <c r="Z197" s="20" t="str">
        <f t="shared" si="86"/>
        <v>0%</v>
      </c>
      <c r="AA197" s="3"/>
    </row>
    <row r="198" spans="1:27" x14ac:dyDescent="0.25">
      <c r="A198" s="21" t="s">
        <v>161</v>
      </c>
      <c r="B198" s="22"/>
      <c r="C198" s="22"/>
      <c r="D198" s="22"/>
      <c r="E198" s="22"/>
      <c r="F198" s="22"/>
      <c r="G198" s="22"/>
      <c r="H198" s="20">
        <f t="shared" si="81"/>
        <v>0</v>
      </c>
      <c r="I198" s="20">
        <v>0</v>
      </c>
      <c r="J198" s="20">
        <v>0</v>
      </c>
      <c r="K198" s="20" t="str">
        <f t="shared" si="82"/>
        <v>0%</v>
      </c>
      <c r="L198" s="22"/>
      <c r="M198" s="20">
        <f t="shared" si="83"/>
        <v>0</v>
      </c>
      <c r="N198" s="20">
        <v>0</v>
      </c>
      <c r="O198" s="20">
        <v>0</v>
      </c>
      <c r="P198" s="20" t="str">
        <f t="shared" si="84"/>
        <v>0%</v>
      </c>
      <c r="Q198" s="22"/>
      <c r="R198" s="22"/>
      <c r="S198" s="22"/>
      <c r="T198" s="22"/>
      <c r="U198" s="22"/>
      <c r="V198" s="22"/>
      <c r="W198" s="20">
        <f t="shared" si="85"/>
        <v>0</v>
      </c>
      <c r="X198" s="20">
        <v>0</v>
      </c>
      <c r="Y198" s="20">
        <v>0</v>
      </c>
      <c r="Z198" s="20" t="str">
        <f t="shared" si="86"/>
        <v>0%</v>
      </c>
      <c r="AA198" s="3"/>
    </row>
    <row r="199" spans="1:27" x14ac:dyDescent="0.25">
      <c r="A199" s="21" t="s">
        <v>168</v>
      </c>
      <c r="B199" s="22"/>
      <c r="C199" s="22"/>
      <c r="D199" s="22"/>
      <c r="E199" s="22"/>
      <c r="F199" s="22"/>
      <c r="G199" s="22"/>
      <c r="H199" s="20">
        <f>SUM(H198,H197,H196,H195,H194)</f>
        <v>0</v>
      </c>
      <c r="I199" s="20">
        <f>SUM(I198,I197,I196,I195,I194)</f>
        <v>0</v>
      </c>
      <c r="J199" s="20">
        <f>SUM(J198,J197,J196,J195,J194)</f>
        <v>0</v>
      </c>
      <c r="K199" s="20" t="str">
        <f t="shared" si="82"/>
        <v>0%</v>
      </c>
      <c r="L199" s="22"/>
      <c r="M199" s="20">
        <f>SUM(M198,M197,M196,M195,M194)</f>
        <v>0</v>
      </c>
      <c r="N199" s="20">
        <f>SUM(N198,N197,N196,N195,N194)</f>
        <v>0</v>
      </c>
      <c r="O199" s="20">
        <f>SUM(O198,O197,O196,O195,O194)</f>
        <v>0</v>
      </c>
      <c r="P199" s="20" t="str">
        <f t="shared" si="84"/>
        <v>0%</v>
      </c>
      <c r="Q199" s="22"/>
      <c r="R199" s="22"/>
      <c r="S199" s="22"/>
      <c r="T199" s="22"/>
      <c r="U199" s="22"/>
      <c r="V199" s="22"/>
      <c r="W199" s="20">
        <f>SUM(W198,W197,W196,W195,W194)</f>
        <v>0</v>
      </c>
      <c r="X199" s="20">
        <f>SUM(X198,X197,X196,X195,X194)</f>
        <v>0</v>
      </c>
      <c r="Y199" s="20">
        <f>SUM(Y198,Y197,Y196,Y195,Y194)</f>
        <v>0</v>
      </c>
      <c r="Z199" s="20" t="str">
        <f t="shared" si="86"/>
        <v>0%</v>
      </c>
      <c r="AA199" s="3"/>
    </row>
    <row r="200" spans="1:27" x14ac:dyDescent="0.25">
      <c r="A200" s="21" t="s">
        <v>166</v>
      </c>
      <c r="B200" s="22"/>
      <c r="C200" s="22"/>
      <c r="D200" s="22"/>
      <c r="E200" s="22"/>
      <c r="F200" s="22"/>
      <c r="G200" s="22"/>
      <c r="H200" s="22"/>
      <c r="I200" s="22"/>
      <c r="J200" s="22"/>
      <c r="K200" s="20" t="str">
        <f>(K197-K165)*100 &amp; "%"</f>
        <v>0%</v>
      </c>
      <c r="L200" s="22"/>
      <c r="M200" s="22"/>
      <c r="N200" s="22"/>
      <c r="O200" s="22"/>
      <c r="P200" s="20" t="str">
        <f>(P197-P165)*100 &amp; "%"</f>
        <v>0%</v>
      </c>
      <c r="Q200" s="22"/>
      <c r="R200" s="22"/>
      <c r="S200" s="22"/>
      <c r="T200" s="22"/>
      <c r="U200" s="22"/>
      <c r="V200" s="22"/>
      <c r="W200" s="22"/>
      <c r="X200" s="22"/>
      <c r="Y200" s="22"/>
      <c r="Z200" s="20" t="str">
        <f>(Z197-Z165)*100 &amp; "%"</f>
        <v>0%</v>
      </c>
      <c r="AA200" s="3"/>
    </row>
    <row r="201" spans="1:27" x14ac:dyDescent="0.25">
      <c r="A201" s="21" t="s">
        <v>167</v>
      </c>
      <c r="B201" s="22"/>
      <c r="C201" s="22"/>
      <c r="D201" s="22"/>
      <c r="E201" s="22"/>
      <c r="F201" s="22"/>
      <c r="G201" s="22"/>
      <c r="H201" s="22"/>
      <c r="I201" s="22"/>
      <c r="J201" s="22"/>
      <c r="K201" s="20" t="str">
        <f>(K198-K106)*100 &amp; "%"</f>
        <v>0%</v>
      </c>
      <c r="L201" s="22"/>
      <c r="M201" s="22"/>
      <c r="N201" s="22"/>
      <c r="O201" s="22"/>
      <c r="P201" s="20" t="str">
        <f>(P198-P106)*100 &amp; "%"</f>
        <v>0%</v>
      </c>
      <c r="Q201" s="22"/>
      <c r="R201" s="22"/>
      <c r="S201" s="22"/>
      <c r="T201" s="22"/>
      <c r="U201" s="22"/>
      <c r="V201" s="22"/>
      <c r="W201" s="22"/>
      <c r="X201" s="22"/>
      <c r="Y201" s="22"/>
      <c r="Z201" s="20" t="str">
        <f>(Z198-Z106)*100 &amp; "%"</f>
        <v>0%</v>
      </c>
      <c r="AA201" s="3"/>
    </row>
    <row r="202" spans="1:27" x14ac:dyDescent="0.25">
      <c r="A202" s="21" t="s">
        <v>169</v>
      </c>
      <c r="B202" s="22"/>
      <c r="C202" s="22"/>
      <c r="D202" s="22"/>
      <c r="E202" s="22"/>
      <c r="F202" s="24"/>
      <c r="G202" s="22"/>
      <c r="H202" s="22"/>
      <c r="I202" s="22"/>
      <c r="J202" s="22"/>
      <c r="K202" s="23">
        <f>K199-K166</f>
        <v>0</v>
      </c>
      <c r="L202" s="22"/>
      <c r="M202" s="22"/>
      <c r="N202" s="22"/>
      <c r="O202" s="22"/>
      <c r="P202" s="23">
        <f>P199-P166</f>
        <v>0</v>
      </c>
      <c r="Q202" s="22"/>
      <c r="R202" s="22"/>
      <c r="S202" s="22"/>
      <c r="T202" s="22"/>
      <c r="U202" s="24"/>
      <c r="V202" s="22"/>
      <c r="W202" s="22"/>
      <c r="X202" s="22"/>
      <c r="Y202" s="22"/>
      <c r="Z202" s="23">
        <f>Z199-Z166</f>
        <v>0</v>
      </c>
      <c r="AA202" s="3"/>
    </row>
    <row r="203" spans="1:27" x14ac:dyDescent="0.25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3"/>
    </row>
    <row r="204" spans="1:27" x14ac:dyDescent="0.25">
      <c r="A204" s="19" t="e">
        <f>#REF!</f>
        <v>#REF!</v>
      </c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3"/>
    </row>
    <row r="205" spans="1:27" x14ac:dyDescent="0.25">
      <c r="A205" s="21" t="s">
        <v>163</v>
      </c>
      <c r="B205" s="22"/>
      <c r="C205" s="22"/>
      <c r="D205" s="22"/>
      <c r="E205" s="22"/>
      <c r="F205" s="22"/>
      <c r="G205" s="22"/>
      <c r="H205" s="20">
        <f>SUM(I205,J205)</f>
        <v>0</v>
      </c>
      <c r="I205" s="20">
        <v>0</v>
      </c>
      <c r="J205" s="20">
        <v>0</v>
      </c>
      <c r="K205" s="20" t="str">
        <f>IF(H205,ROUND(I205/H205*100,2),0) &amp; "%"</f>
        <v>0%</v>
      </c>
      <c r="L205" s="22"/>
      <c r="M205" s="20">
        <f>SUM(N205,O205)</f>
        <v>0</v>
      </c>
      <c r="N205" s="20">
        <v>0</v>
      </c>
      <c r="O205" s="20">
        <v>0</v>
      </c>
      <c r="P205" s="20" t="str">
        <f>IF(M205,ROUND(N205/M205*100,2),0) &amp; "%"</f>
        <v>0%</v>
      </c>
      <c r="Q205" s="22"/>
      <c r="R205" s="20">
        <f>SUM(S205,T205)</f>
        <v>0</v>
      </c>
      <c r="S205" s="20">
        <v>0</v>
      </c>
      <c r="T205" s="20">
        <v>0</v>
      </c>
      <c r="U205" s="20" t="str">
        <f>IF(R205,ROUND(S205/R205*100,2),0) &amp; "%"</f>
        <v>0%</v>
      </c>
      <c r="V205" s="22"/>
      <c r="W205" s="22"/>
      <c r="X205" s="22"/>
      <c r="Y205" s="22"/>
      <c r="Z205" s="22"/>
      <c r="AA205" s="3"/>
    </row>
    <row r="206" spans="1:27" x14ac:dyDescent="0.25">
      <c r="A206" s="21" t="s">
        <v>162</v>
      </c>
      <c r="B206" s="22"/>
      <c r="C206" s="22"/>
      <c r="D206" s="22"/>
      <c r="E206" s="22"/>
      <c r="F206" s="22"/>
      <c r="G206" s="22"/>
      <c r="H206" s="20">
        <f t="shared" ref="H206:H209" si="87">SUM(I206,J206)</f>
        <v>0</v>
      </c>
      <c r="I206" s="20">
        <v>0</v>
      </c>
      <c r="J206" s="20">
        <v>0</v>
      </c>
      <c r="K206" s="20" t="str">
        <f t="shared" ref="K206:K210" si="88">IF(H206,ROUND(I206/H206*100,2),0) &amp; "%"</f>
        <v>0%</v>
      </c>
      <c r="L206" s="22"/>
      <c r="M206" s="20">
        <f t="shared" ref="M206:M209" si="89">SUM(N206,O206)</f>
        <v>0</v>
      </c>
      <c r="N206" s="20">
        <v>0</v>
      </c>
      <c r="O206" s="20">
        <v>0</v>
      </c>
      <c r="P206" s="20" t="str">
        <f t="shared" ref="P206:P210" si="90">IF(M206,ROUND(N206/M206*100,2),0) &amp; "%"</f>
        <v>0%</v>
      </c>
      <c r="Q206" s="22"/>
      <c r="R206" s="20">
        <f t="shared" ref="R206:R209" si="91">SUM(S206,T206)</f>
        <v>0</v>
      </c>
      <c r="S206" s="20">
        <v>0</v>
      </c>
      <c r="T206" s="20">
        <v>0</v>
      </c>
      <c r="U206" s="20" t="str">
        <f t="shared" ref="U206:U210" si="92">IF(R206,ROUND(S206/R206*100,2),0) &amp; "%"</f>
        <v>0%</v>
      </c>
      <c r="V206" s="22"/>
      <c r="W206" s="22"/>
      <c r="X206" s="22"/>
      <c r="Y206" s="22"/>
      <c r="Z206" s="22"/>
      <c r="AA206" s="3"/>
    </row>
    <row r="207" spans="1:27" x14ac:dyDescent="0.25">
      <c r="A207" s="21" t="s">
        <v>164</v>
      </c>
      <c r="B207" s="22"/>
      <c r="C207" s="22"/>
      <c r="D207" s="22"/>
      <c r="E207" s="22"/>
      <c r="F207" s="22"/>
      <c r="G207" s="22"/>
      <c r="H207" s="20">
        <f t="shared" si="87"/>
        <v>0</v>
      </c>
      <c r="I207" s="20">
        <v>0</v>
      </c>
      <c r="J207" s="20">
        <v>0</v>
      </c>
      <c r="K207" s="20" t="str">
        <f t="shared" si="88"/>
        <v>0%</v>
      </c>
      <c r="L207" s="22"/>
      <c r="M207" s="20">
        <f t="shared" si="89"/>
        <v>0</v>
      </c>
      <c r="N207" s="20">
        <v>0</v>
      </c>
      <c r="O207" s="20">
        <v>0</v>
      </c>
      <c r="P207" s="20" t="str">
        <f t="shared" si="90"/>
        <v>0%</v>
      </c>
      <c r="Q207" s="22"/>
      <c r="R207" s="20">
        <f t="shared" si="91"/>
        <v>0</v>
      </c>
      <c r="S207" s="20">
        <v>0</v>
      </c>
      <c r="T207" s="20">
        <v>0</v>
      </c>
      <c r="U207" s="20" t="str">
        <f t="shared" si="92"/>
        <v>0%</v>
      </c>
      <c r="V207" s="22"/>
      <c r="W207" s="22"/>
      <c r="X207" s="22"/>
      <c r="Y207" s="22"/>
      <c r="Z207" s="22"/>
      <c r="AA207" s="3"/>
    </row>
    <row r="208" spans="1:27" x14ac:dyDescent="0.25">
      <c r="A208" s="21" t="s">
        <v>165</v>
      </c>
      <c r="B208" s="22"/>
      <c r="C208" s="22"/>
      <c r="D208" s="22"/>
      <c r="E208" s="22"/>
      <c r="F208" s="22"/>
      <c r="G208" s="22"/>
      <c r="H208" s="20">
        <f t="shared" si="87"/>
        <v>0</v>
      </c>
      <c r="I208" s="20">
        <v>0</v>
      </c>
      <c r="J208" s="20">
        <v>0</v>
      </c>
      <c r="K208" s="20" t="str">
        <f t="shared" si="88"/>
        <v>0%</v>
      </c>
      <c r="L208" s="22"/>
      <c r="M208" s="20">
        <f t="shared" si="89"/>
        <v>0</v>
      </c>
      <c r="N208" s="20">
        <v>0</v>
      </c>
      <c r="O208" s="20">
        <v>0</v>
      </c>
      <c r="P208" s="20" t="str">
        <f t="shared" si="90"/>
        <v>0%</v>
      </c>
      <c r="Q208" s="22"/>
      <c r="R208" s="20">
        <f t="shared" si="91"/>
        <v>0</v>
      </c>
      <c r="S208" s="20">
        <v>0</v>
      </c>
      <c r="T208" s="20">
        <v>0</v>
      </c>
      <c r="U208" s="20" t="str">
        <f t="shared" si="92"/>
        <v>0%</v>
      </c>
      <c r="V208" s="22"/>
      <c r="W208" s="22"/>
      <c r="X208" s="22"/>
      <c r="Y208" s="22"/>
      <c r="Z208" s="22"/>
      <c r="AA208" s="3"/>
    </row>
    <row r="209" spans="1:27" x14ac:dyDescent="0.25">
      <c r="A209" s="21" t="s">
        <v>161</v>
      </c>
      <c r="B209" s="22"/>
      <c r="C209" s="22"/>
      <c r="D209" s="22"/>
      <c r="E209" s="22"/>
      <c r="F209" s="22"/>
      <c r="G209" s="22"/>
      <c r="H209" s="20">
        <f t="shared" si="87"/>
        <v>0</v>
      </c>
      <c r="I209" s="20">
        <v>0</v>
      </c>
      <c r="J209" s="20">
        <v>0</v>
      </c>
      <c r="K209" s="20" t="str">
        <f t="shared" si="88"/>
        <v>0%</v>
      </c>
      <c r="L209" s="22"/>
      <c r="M209" s="20">
        <f t="shared" si="89"/>
        <v>0</v>
      </c>
      <c r="N209" s="20">
        <v>0</v>
      </c>
      <c r="O209" s="20">
        <v>0</v>
      </c>
      <c r="P209" s="20" t="str">
        <f t="shared" si="90"/>
        <v>0%</v>
      </c>
      <c r="Q209" s="22"/>
      <c r="R209" s="20">
        <f t="shared" si="91"/>
        <v>0</v>
      </c>
      <c r="S209" s="20">
        <v>0</v>
      </c>
      <c r="T209" s="20">
        <v>0</v>
      </c>
      <c r="U209" s="20" t="str">
        <f t="shared" si="92"/>
        <v>0%</v>
      </c>
      <c r="V209" s="22"/>
      <c r="W209" s="22"/>
      <c r="X209" s="22"/>
      <c r="Y209" s="22"/>
      <c r="Z209" s="22"/>
      <c r="AA209" s="3"/>
    </row>
    <row r="210" spans="1:27" x14ac:dyDescent="0.25">
      <c r="A210" s="21" t="s">
        <v>168</v>
      </c>
      <c r="B210" s="22"/>
      <c r="C210" s="22"/>
      <c r="D210" s="22"/>
      <c r="E210" s="22"/>
      <c r="F210" s="22"/>
      <c r="G210" s="22"/>
      <c r="H210" s="20">
        <f>SUM(H209,H208,H207,H206,H205)</f>
        <v>0</v>
      </c>
      <c r="I210" s="20">
        <f>SUM(I209,I208,I207,I206,I205)</f>
        <v>0</v>
      </c>
      <c r="J210" s="20">
        <f>SUM(J209,J208,J207,J206,J205)</f>
        <v>0</v>
      </c>
      <c r="K210" s="20" t="str">
        <f t="shared" si="88"/>
        <v>0%</v>
      </c>
      <c r="L210" s="22"/>
      <c r="M210" s="20">
        <f>SUM(M209,M208,M207,M206,M205)</f>
        <v>0</v>
      </c>
      <c r="N210" s="20">
        <f>SUM(N209,N208,N207,N206,N205)</f>
        <v>0</v>
      </c>
      <c r="O210" s="20">
        <f>SUM(O209,O208,O207,O206,O205)</f>
        <v>0</v>
      </c>
      <c r="P210" s="20" t="str">
        <f t="shared" si="90"/>
        <v>0%</v>
      </c>
      <c r="Q210" s="22"/>
      <c r="R210" s="20">
        <f>SUM(R209,R208,R207,R206,R205)</f>
        <v>0</v>
      </c>
      <c r="S210" s="20">
        <f>SUM(S209,S208,S207,S206,S205)</f>
        <v>0</v>
      </c>
      <c r="T210" s="20">
        <f>SUM(T209,T208,T207,T206,T205)</f>
        <v>0</v>
      </c>
      <c r="U210" s="20" t="str">
        <f t="shared" si="92"/>
        <v>0%</v>
      </c>
      <c r="V210" s="22"/>
      <c r="W210" s="22"/>
      <c r="X210" s="22"/>
      <c r="Y210" s="22"/>
      <c r="Z210" s="22"/>
      <c r="AA210" s="3"/>
    </row>
    <row r="211" spans="1:27" x14ac:dyDescent="0.25">
      <c r="A211" s="21" t="s">
        <v>166</v>
      </c>
      <c r="B211" s="22"/>
      <c r="C211" s="22"/>
      <c r="D211" s="22"/>
      <c r="E211" s="22"/>
      <c r="F211" s="22"/>
      <c r="G211" s="22"/>
      <c r="H211" s="22"/>
      <c r="I211" s="22"/>
      <c r="J211" s="22"/>
      <c r="K211" s="20" t="str">
        <f>(K208-K165)*100 &amp; "%"</f>
        <v>0%</v>
      </c>
      <c r="L211" s="22"/>
      <c r="M211" s="22"/>
      <c r="N211" s="22"/>
      <c r="O211" s="22"/>
      <c r="P211" s="20" t="str">
        <f>(P208-P165)*100 &amp; "%"</f>
        <v>0%</v>
      </c>
      <c r="Q211" s="22"/>
      <c r="R211" s="22"/>
      <c r="S211" s="22"/>
      <c r="T211" s="22"/>
      <c r="U211" s="20" t="str">
        <f>(U208-U165)*100 &amp; "%"</f>
        <v>0%</v>
      </c>
      <c r="V211" s="22"/>
      <c r="W211" s="22"/>
      <c r="X211" s="22"/>
      <c r="Y211" s="22"/>
      <c r="Z211" s="22"/>
      <c r="AA211" s="3"/>
    </row>
    <row r="212" spans="1:27" x14ac:dyDescent="0.25">
      <c r="A212" s="21" t="s">
        <v>167</v>
      </c>
      <c r="B212" s="22"/>
      <c r="C212" s="22"/>
      <c r="D212" s="22"/>
      <c r="E212" s="22"/>
      <c r="F212" s="22"/>
      <c r="G212" s="22"/>
      <c r="H212" s="22"/>
      <c r="I212" s="22"/>
      <c r="J212" s="22"/>
      <c r="K212" s="20" t="str">
        <f>(K209-K106)*100 &amp; "%"</f>
        <v>0%</v>
      </c>
      <c r="L212" s="22"/>
      <c r="M212" s="22"/>
      <c r="N212" s="22"/>
      <c r="O212" s="22"/>
      <c r="P212" s="20" t="str">
        <f>(P209-P106)*100 &amp; "%"</f>
        <v>0%</v>
      </c>
      <c r="Q212" s="22"/>
      <c r="R212" s="22"/>
      <c r="S212" s="22"/>
      <c r="T212" s="22"/>
      <c r="U212" s="20" t="str">
        <f>(U209-U106)*100 &amp; "%"</f>
        <v>0%</v>
      </c>
      <c r="V212" s="22"/>
      <c r="W212" s="22"/>
      <c r="X212" s="22"/>
      <c r="Y212" s="22"/>
      <c r="Z212" s="22"/>
      <c r="AA212" s="3"/>
    </row>
    <row r="213" spans="1:27" x14ac:dyDescent="0.25">
      <c r="A213" s="21" t="s">
        <v>169</v>
      </c>
      <c r="B213" s="22"/>
      <c r="C213" s="22"/>
      <c r="D213" s="22"/>
      <c r="E213" s="22"/>
      <c r="F213" s="24"/>
      <c r="G213" s="22"/>
      <c r="H213" s="22"/>
      <c r="I213" s="22"/>
      <c r="J213" s="22"/>
      <c r="K213" s="23">
        <f>K210-K166</f>
        <v>0</v>
      </c>
      <c r="L213" s="22"/>
      <c r="M213" s="22"/>
      <c r="N213" s="22"/>
      <c r="O213" s="22"/>
      <c r="P213" s="23">
        <f>P210-P166</f>
        <v>0</v>
      </c>
      <c r="Q213" s="22"/>
      <c r="R213" s="22"/>
      <c r="S213" s="22"/>
      <c r="T213" s="22"/>
      <c r="U213" s="23">
        <f>U210-U166</f>
        <v>0</v>
      </c>
      <c r="V213" s="22"/>
      <c r="W213" s="22"/>
      <c r="X213" s="22"/>
      <c r="Y213" s="22"/>
      <c r="Z213" s="24"/>
      <c r="AA213" s="3"/>
    </row>
    <row r="214" spans="1:27" x14ac:dyDescent="0.25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3"/>
    </row>
  </sheetData>
  <pageMargins left="0.7" right="0.7" top="0.75" bottom="0.75" header="0.3" footer="0.3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4e12c9-bdf3-447e-ac63-b8aa30cb912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D6901F31B669244A77CF3DC592DC06F" ma:contentTypeVersion="12" ma:contentTypeDescription="Create a new document." ma:contentTypeScope="" ma:versionID="3f07ba37d9f6a9a16ab78a3833be08f3">
  <xsd:schema xmlns:xsd="http://www.w3.org/2001/XMLSchema" xmlns:xs="http://www.w3.org/2001/XMLSchema" xmlns:p="http://schemas.microsoft.com/office/2006/metadata/properties" xmlns:ns3="d74e12c9-bdf3-447e-ac63-b8aa30cb912e" xmlns:ns4="7ce3718d-1d19-4340-bc07-211e3ea25757" targetNamespace="http://schemas.microsoft.com/office/2006/metadata/properties" ma:root="true" ma:fieldsID="3d76b4510715f63c0dd84a4bd0fa290f" ns3:_="" ns4:_="">
    <xsd:import namespace="d74e12c9-bdf3-447e-ac63-b8aa30cb912e"/>
    <xsd:import namespace="7ce3718d-1d19-4340-bc07-211e3ea2575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4e12c9-bdf3-447e-ac63-b8aa30cb912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e3718d-1d19-4340-bc07-211e3ea2575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E2E85D4-37C6-4843-9D21-AD40AB5F6E3A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purl.org/dc/dcmitype/"/>
    <ds:schemaRef ds:uri="http://purl.org/dc/terms/"/>
    <ds:schemaRef ds:uri="d74e12c9-bdf3-447e-ac63-b8aa30cb912e"/>
    <ds:schemaRef ds:uri="http://schemas.openxmlformats.org/package/2006/metadata/core-properties"/>
    <ds:schemaRef ds:uri="7ce3718d-1d19-4340-bc07-211e3ea25757"/>
  </ds:schemaRefs>
</ds:datastoreItem>
</file>

<file path=customXml/itemProps2.xml><?xml version="1.0" encoding="utf-8"?>
<ds:datastoreItem xmlns:ds="http://schemas.openxmlformats.org/officeDocument/2006/customXml" ds:itemID="{5BF8F943-7811-4141-8F4E-8FF466B07D8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D93BBC3-F948-4065-9078-5D0662F77D2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4e12c9-bdf3-447e-ac63-b8aa30cb912e"/>
    <ds:schemaRef ds:uri="7ce3718d-1d19-4340-bc07-211e3ea257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 Alexander (Student)</dc:creator>
  <cp:lastModifiedBy>Lewis Alexander (Student)</cp:lastModifiedBy>
  <dcterms:created xsi:type="dcterms:W3CDTF">2024-11-03T18:10:04Z</dcterms:created>
  <dcterms:modified xsi:type="dcterms:W3CDTF">2026-01-01T22:43:55Z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0x0101006D6901F31B669244A77CF3DC592DC06F</vt:lpwstr>
  </property>
</Properties>
</file>